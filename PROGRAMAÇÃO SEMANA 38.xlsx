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A SERENA" sheetId="1" r:id="rId1"/>
    <sheet name="CD ROTA 116" sheetId="2" r:id="rId2"/>
    <sheet name="BaseLine" sheetId="3" r:id="rId3"/>
  </sheets>
  <definedNames>
    <definedName name="_xlnm._FilterDatabase" localSheetId="1" hidden="1">'CD ROTA 116'!$A$4:$AD$43</definedName>
    <definedName name="_xlnm._FilterDatabase" localSheetId="0" hidden="1">'VILA SERENA'!$A$4:$AD$49</definedName>
  </definedNames>
  <calcPr calcId="124519" fullCalcOnLoad="1"/>
</workbook>
</file>

<file path=xl/sharedStrings.xml><?xml version="1.0" encoding="utf-8"?>
<sst xmlns="http://schemas.openxmlformats.org/spreadsheetml/2006/main" count="877" uniqueCount="250">
  <si>
    <t>PROGRAMAÇÃO SEMANAL - RESIDENCIAL VILA SERENA</t>
  </si>
  <si>
    <t>DATA PROGRAMADA</t>
  </si>
  <si>
    <t>ESTRUTURA</t>
  </si>
  <si>
    <t>FRENTE DE TRABALHO</t>
  </si>
  <si>
    <t>TIPO</t>
  </si>
  <si>
    <t>ORDEM</t>
  </si>
  <si>
    <t>OP</t>
  </si>
  <si>
    <t>CAMINHO CRÍTICO</t>
  </si>
  <si>
    <t>TEXTO BREVE</t>
  </si>
  <si>
    <t>FISCAL</t>
  </si>
  <si>
    <t>ENCARREGADO</t>
  </si>
  <si>
    <t>EQUIPAMENTO / RECURSO</t>
  </si>
  <si>
    <t>DUR</t>
  </si>
  <si>
    <t>NUM</t>
  </si>
  <si>
    <t>EXECUÇÃO</t>
  </si>
  <si>
    <t>OBS - EMPREITEIRA</t>
  </si>
  <si>
    <t>OBS - CLIENTE</t>
  </si>
  <si>
    <t>TRAB</t>
  </si>
  <si>
    <t>JANELA MÍNIMA</t>
  </si>
  <si>
    <t>JANELA MÁXIMA</t>
  </si>
  <si>
    <t>RETORNO</t>
  </si>
  <si>
    <t>JUSTIFICATIVA DO DESVIO</t>
  </si>
  <si>
    <t>OBS</t>
  </si>
  <si>
    <t>DETALHAMENTO</t>
  </si>
  <si>
    <t>PACOTE DE TRABALHO</t>
  </si>
  <si>
    <t>EQUIPE (OPCIONAL)</t>
  </si>
  <si>
    <t>FISCAL (OPCIONAL)</t>
  </si>
  <si>
    <t>ENCARREGADO (OPCIONAL)</t>
  </si>
  <si>
    <t>RECURSO (OPCIONAL)</t>
  </si>
  <si>
    <t>DESTINO DA REALOCAÇÃO</t>
  </si>
  <si>
    <t>QTD REMANEJADA</t>
  </si>
  <si>
    <t>SEGUNDA-FEIRA ►</t>
  </si>
  <si>
    <t>Qtd. Total OS:</t>
  </si>
  <si>
    <t>HH total programado:</t>
  </si>
  <si>
    <t xml:space="preserve">SEGUNDA-FEIRA </t>
  </si>
  <si>
    <t>QTD. OPER.</t>
  </si>
  <si>
    <t>HH DIA</t>
  </si>
  <si>
    <t>Torre A - 12º Pav.</t>
  </si>
  <si>
    <t>Estruturas de Concreto</t>
  </si>
  <si>
    <t>Execução</t>
  </si>
  <si>
    <t>Não</t>
  </si>
  <si>
    <t>Fôrmas de laje 12º pav. - Torre A</t>
  </si>
  <si>
    <t>Duarte</t>
  </si>
  <si>
    <t>Jorge Lima</t>
  </si>
  <si>
    <t>Grua Torre A</t>
  </si>
  <si>
    <t>Torre A - 12º Pav. | Grua Torre A</t>
  </si>
  <si>
    <t>EST.08.01</t>
  </si>
  <si>
    <t>Torre B - 5º Pav.</t>
  </si>
  <si>
    <t>Fôrmas de laje 5º pav. - Torre B</t>
  </si>
  <si>
    <t>Grua Torre B</t>
  </si>
  <si>
    <t>Torre B - 5º Pav. | Grua Torre B</t>
  </si>
  <si>
    <t>Torre A - 7º Pav.</t>
  </si>
  <si>
    <t>Alvenaria e Vedação</t>
  </si>
  <si>
    <t>Marcação e 1ª fiada 7º pav.</t>
  </si>
  <si>
    <t>Wesley Santos</t>
  </si>
  <si>
    <t>Nível a laser</t>
  </si>
  <si>
    <t>Torre A - 7º Pav. | Nível a laser</t>
  </si>
  <si>
    <t>ALV.08.01</t>
  </si>
  <si>
    <t>Segurança do Trabalho</t>
  </si>
  <si>
    <t>Segurança</t>
  </si>
  <si>
    <t>DDS e inspeção de proteções coletivas</t>
  </si>
  <si>
    <t>Checklist NR-18</t>
  </si>
  <si>
    <t>Torre A - 12º Pav. | Checklist NR-18</t>
  </si>
  <si>
    <t>SEG.08.01</t>
  </si>
  <si>
    <t>Torre A - 5º Pav.</t>
  </si>
  <si>
    <t>Acabamentos</t>
  </si>
  <si>
    <t>Contrapiso 5º pav. - Torre A</t>
  </si>
  <si>
    <t>Nogueira</t>
  </si>
  <si>
    <t>Edson Barreto</t>
  </si>
  <si>
    <t>Betoneira 400L</t>
  </si>
  <si>
    <t>Torre A - 5º Pav. | Betoneira 400L</t>
  </si>
  <si>
    <t>ACA.08.01</t>
  </si>
  <si>
    <t>TERÇA-FEIRA</t>
  </si>
  <si>
    <t>Armação de lajes e vigas 12º pav.</t>
  </si>
  <si>
    <t>Bancada de armação</t>
  </si>
  <si>
    <t>Torre A - 12º Pav. | Bancada de armação</t>
  </si>
  <si>
    <t>EST.08.02</t>
  </si>
  <si>
    <t>Elevação de alvenaria 7º pav.</t>
  </si>
  <si>
    <t>Andaime fachadeiro</t>
  </si>
  <si>
    <t>Entrega parcial de material - equipe reduzida</t>
  </si>
  <si>
    <t>FMAT_FALTA DE MATERIAL / ATRASO DO FORNECEDOR</t>
  </si>
  <si>
    <t>Torre A - 7º Pav. | Andaime fachadeiro</t>
  </si>
  <si>
    <t>ALV.08.02</t>
  </si>
  <si>
    <t>Instalações Hidrossanitárias</t>
  </si>
  <si>
    <t>Prumadas de água fria 7º pav.</t>
  </si>
  <si>
    <t>Cleiton Rocha</t>
  </si>
  <si>
    <t>Bancada de tubulação</t>
  </si>
  <si>
    <t>Torre A - 7º Pav. | Bancada de tubulação</t>
  </si>
  <si>
    <t>INS.08.01</t>
  </si>
  <si>
    <t>Térreo - Áreas Comuns</t>
  </si>
  <si>
    <t>Áreas Comuns</t>
  </si>
  <si>
    <t>Salão de festas - laje de cobertura</t>
  </si>
  <si>
    <t>Bomba estacionária</t>
  </si>
  <si>
    <t>Térreo - Áreas Comuns | Bomba estacionária</t>
  </si>
  <si>
    <t>ÁRE.08.01</t>
  </si>
  <si>
    <t>Canteiro</t>
  </si>
  <si>
    <t>Canteiro e Logística</t>
  </si>
  <si>
    <t>Preparação</t>
  </si>
  <si>
    <t>Recebimento e descarga de aço CA-50</t>
  </si>
  <si>
    <t>Caminhão Munck</t>
  </si>
  <si>
    <t>Canteiro | Caminhão Munck</t>
  </si>
  <si>
    <t>CAN.08.01</t>
  </si>
  <si>
    <t>QUARTA-FEIRA</t>
  </si>
  <si>
    <t>OS 26100394 / Op 10</t>
  </si>
  <si>
    <t>Armação de lajes 5º pav. - Torre B</t>
  </si>
  <si>
    <t>Torre B - 5º Pav. | Bancada de armação</t>
  </si>
  <si>
    <t>Instalações Elétricas</t>
  </si>
  <si>
    <t>Eletrodutos embutidos laje 12º</t>
  </si>
  <si>
    <t>Serra copo</t>
  </si>
  <si>
    <t>Recebeu reforço de equipe remanejada</t>
  </si>
  <si>
    <t>Torre A - 12º Pav. | Serra copo</t>
  </si>
  <si>
    <t>QUINTA-FEIRA</t>
  </si>
  <si>
    <t>Sim</t>
  </si>
  <si>
    <t>Concretagem laje 12º pav. - Torre A</t>
  </si>
  <si>
    <t>Bomba lança 36 m</t>
  </si>
  <si>
    <t>Reforço de equipe para concluir concretagem no mesmo dia</t>
  </si>
  <si>
    <t>Liberação de fôrmas e armação assinada pela fiscalização</t>
  </si>
  <si>
    <t>Torre A - 12º Pav. | Bomba lança 36 m</t>
  </si>
  <si>
    <t>EST.08.04</t>
  </si>
  <si>
    <t>Inspeção de andaimes e linha de vida</t>
  </si>
  <si>
    <t>Inspeção</t>
  </si>
  <si>
    <t>Teste de estanqueidade das prumadas</t>
  </si>
  <si>
    <t>Bomba de teste</t>
  </si>
  <si>
    <t>Acompanhamento do teste pela fiscalização do cliente</t>
  </si>
  <si>
    <t>Torre A - 7º Pav. | Bomba de teste</t>
  </si>
  <si>
    <t>INS.08.02</t>
  </si>
  <si>
    <t>Caixas e quadros 7º pav.</t>
  </si>
  <si>
    <t>Furadeira de impacto</t>
  </si>
  <si>
    <t>Torre A - 7º Pav. | Furadeira de impacto</t>
  </si>
  <si>
    <t>Torre A - 4º Pav.</t>
  </si>
  <si>
    <t>Assentamento cerâmica 4º pav.</t>
  </si>
  <si>
    <t>Serra de bancada</t>
  </si>
  <si>
    <t>Torre A - 4º Pav. | Serra de bancada</t>
  </si>
  <si>
    <t>Extra</t>
  </si>
  <si>
    <t>Correção</t>
  </si>
  <si>
    <t>Reforço de escoramento laje 12º pav.</t>
  </si>
  <si>
    <t>Equipe de apoio</t>
  </si>
  <si>
    <t>Torre A - 12º Pav. | Equipe de apoio</t>
  </si>
  <si>
    <t>EXT.08.01</t>
  </si>
  <si>
    <t>SEXTA-FEIRA</t>
  </si>
  <si>
    <t>Cura e corpos de prova - laje 12º</t>
  </si>
  <si>
    <t>Kit controle tecnológico</t>
  </si>
  <si>
    <t>Torre A - 12º Pav. | Kit controle tecnológico</t>
  </si>
  <si>
    <t>EST.08.05</t>
  </si>
  <si>
    <t>Concretagem laje 5º pav. - Torre B</t>
  </si>
  <si>
    <t>Torre B - 5º Pav. | Bomba estacionária</t>
  </si>
  <si>
    <t>EST.08.03</t>
  </si>
  <si>
    <t>Vergas e contravergas 7º pav.</t>
  </si>
  <si>
    <t>Torre A - 7º Pav. | Serra de bancada</t>
  </si>
  <si>
    <t>ALV.08.03</t>
  </si>
  <si>
    <t>Torre A - 6º Pav.</t>
  </si>
  <si>
    <t>Rede de esgoto 6º pav.</t>
  </si>
  <si>
    <t>Torre A - 6º Pav. | Bancada de tubulação</t>
  </si>
  <si>
    <t>Limpeza e organização do canteiro</t>
  </si>
  <si>
    <t>Carrinho de mão</t>
  </si>
  <si>
    <t>Canteiro | Carrinho de mão</t>
  </si>
  <si>
    <t>SÁBADO</t>
  </si>
  <si>
    <t>Torre B - 4º Pav.</t>
  </si>
  <si>
    <t>Desforma laje 4º pav. - Torre B</t>
  </si>
  <si>
    <t>Torre B - 4º Pav. | Grua Torre B</t>
  </si>
  <si>
    <t>Limpeza geral e descarte de entulho</t>
  </si>
  <si>
    <t>Caçamba estacionária</t>
  </si>
  <si>
    <t>Canteiro | Caçamba estacionária</t>
  </si>
  <si>
    <t>DOMINGO</t>
  </si>
  <si>
    <t>PROGRAMAÇÃO SEMANAL - CENTRO LOGÍSTICO ROTA 116</t>
  </si>
  <si>
    <t>Platô B</t>
  </si>
  <si>
    <t>Terraplenagem</t>
  </si>
  <si>
    <t>Regularização e compactação platô B</t>
  </si>
  <si>
    <t>Prado</t>
  </si>
  <si>
    <t>Adriano Melo</t>
  </si>
  <si>
    <t>Rolo compactador CA-25</t>
  </si>
  <si>
    <t>Platô B | Rolo compactador CA-25</t>
  </si>
  <si>
    <t>TER.08.01</t>
  </si>
  <si>
    <t>Galpão 1 - Módulo B</t>
  </si>
  <si>
    <t>Fundações</t>
  </si>
  <si>
    <t>Escavação de blocos de coroamento</t>
  </si>
  <si>
    <t>Ronaldo Freitas</t>
  </si>
  <si>
    <t>Escavadeira 320</t>
  </si>
  <si>
    <t>Galpão 1 - Módulo B | Escavadeira 320</t>
  </si>
  <si>
    <t>FUN.08.01</t>
  </si>
  <si>
    <t>Drenagem Pluvial</t>
  </si>
  <si>
    <t>Drenagem</t>
  </si>
  <si>
    <t>Assentamento de galerias pluviais</t>
  </si>
  <si>
    <t>Retroescavadeira 416</t>
  </si>
  <si>
    <t>Drenagem Pluvial | Retroescavadeira 416</t>
  </si>
  <si>
    <t>DRE.08.01</t>
  </si>
  <si>
    <t>DDS e liberação de escavações</t>
  </si>
  <si>
    <t>Platô B | Checklist NR-18</t>
  </si>
  <si>
    <t>Galpão 1 - Módulo A</t>
  </si>
  <si>
    <t>Pré-moldados</t>
  </si>
  <si>
    <t>Montagem de pilares pré-moldados</t>
  </si>
  <si>
    <t>Guindaste 90 t</t>
  </si>
  <si>
    <t>Galpão 1 - Módulo A | Guindaste 90 t</t>
  </si>
  <si>
    <t>PRÉ.08.01</t>
  </si>
  <si>
    <t>Pátio de Manobras</t>
  </si>
  <si>
    <t>Pavimentação</t>
  </si>
  <si>
    <t>Sub-base de brita graduada - pátio</t>
  </si>
  <si>
    <t>Motoniveladora 140</t>
  </si>
  <si>
    <t>Pátio de Manobras | Motoniveladora 140</t>
  </si>
  <si>
    <t>PAV.08.01</t>
  </si>
  <si>
    <t>Abastecimento de máquinas e comboio</t>
  </si>
  <si>
    <t>Caminhão comboio</t>
  </si>
  <si>
    <t>Canteiro | Caminhão comboio</t>
  </si>
  <si>
    <t>OS 26200361 / Op 10</t>
  </si>
  <si>
    <t>Topografia</t>
  </si>
  <si>
    <t>Levantamento topográfico as-built</t>
  </si>
  <si>
    <t>Estação total</t>
  </si>
  <si>
    <t>Platô B | Estação total</t>
  </si>
  <si>
    <t>TOP.08.01</t>
  </si>
  <si>
    <t>Concretagem de blocos - módulo B</t>
  </si>
  <si>
    <t>Galpão 1 - Módulo B | Bomba estacionária</t>
  </si>
  <si>
    <t>FUN.08.02</t>
  </si>
  <si>
    <t>Grauteamento de cálices - módulo A</t>
  </si>
  <si>
    <t>Bomba de graute</t>
  </si>
  <si>
    <t>Galpão 1 - Módulo A | Bomba de graute</t>
  </si>
  <si>
    <t>Execução de poços de visita</t>
  </si>
  <si>
    <t>Drenagem Pluvial | Betoneira 400L</t>
  </si>
  <si>
    <t>Inspeção de taludes e cortes</t>
  </si>
  <si>
    <t>Checklist NR-22</t>
  </si>
  <si>
    <t>Platô B | Checklist NR-22</t>
  </si>
  <si>
    <t>Correção de nivelamento platô B</t>
  </si>
  <si>
    <t>Platô B | Equipe de apoio</t>
  </si>
  <si>
    <t>Controle de compactação (grau)</t>
  </si>
  <si>
    <t>Frasco de areia</t>
  </si>
  <si>
    <t>Platô B | Frasco de areia</t>
  </si>
  <si>
    <t>Acessos</t>
  </si>
  <si>
    <t>Manutenção de acessos e drenagem prov.</t>
  </si>
  <si>
    <t>Acessos | Motoniveladora 140</t>
  </si>
  <si>
    <t>BASE DE LISTAS (alimenta as listas suspensas da programação)</t>
  </si>
  <si>
    <t>devcd</t>
  </si>
  <si>
    <t>Descrição</t>
  </si>
  <si>
    <t>Justificativa</t>
  </si>
  <si>
    <t>CHUVA</t>
  </si>
  <si>
    <t>PARALISADO POR CHUVA / CONDIÇÃO CLIMÁTICA</t>
  </si>
  <si>
    <t>FMAT</t>
  </si>
  <si>
    <t>FALTA DE MATERIAL / ATRASO DO FORNECEDOR</t>
  </si>
  <si>
    <t>FEQP</t>
  </si>
  <si>
    <t>EQUIPAMENTO INDISPONÍVEL</t>
  </si>
  <si>
    <t>FMDO</t>
  </si>
  <si>
    <t>DESVIO DE MÃO DE OBRA</t>
  </si>
  <si>
    <t>LIBE</t>
  </si>
  <si>
    <t>AGUARDANDO LIBERAÇÃO DO CLIENTE / PROJETO</t>
  </si>
  <si>
    <t>RETR</t>
  </si>
  <si>
    <t>RETRABALHO</t>
  </si>
  <si>
    <t>EXANT</t>
  </si>
  <si>
    <t>EXECUÇÃO ANTECIPADA</t>
  </si>
  <si>
    <t>CCLI</t>
  </si>
  <si>
    <t>CANCELADO PELO CLIENTE</t>
  </si>
  <si>
    <t>REPL</t>
  </si>
  <si>
    <t>REPLANEJADO PELO PLANEJAMENTO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</si>
</sst>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B2A3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3D"/>
        <bgColor indexed="64"/>
      </patternFill>
    </fill>
    <fill>
      <patternFill patternType="solid">
        <fgColor rgb="FFC9D6E6"/>
        <bgColor indexed="64"/>
      </patternFill>
    </fill>
    <fill>
      <patternFill patternType="solid">
        <fgColor rgb="FFFFE3C2"/>
        <bgColor indexed="64"/>
      </patternFill>
    </fill>
    <fill>
      <patternFill patternType="solid">
        <fgColor rgb="FF2A4A73"/>
        <bgColor indexed="64"/>
      </patternFill>
    </fill>
    <fill>
      <patternFill patternType="solid">
        <fgColor rgb="FFFDE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DDEFD9"/>
        <bgColor indexed="64"/>
      </patternFill>
    </fill>
    <fill>
      <patternFill patternType="solid">
        <fgColor rgb="FFFBF0C4"/>
        <bgColor indexed="64"/>
      </patternFill>
    </fill>
    <fill>
      <patternFill patternType="solid">
        <fgColor rgb="FFE6DAF2"/>
        <bgColor indexed="64"/>
      </patternFill>
    </fill>
    <fill>
      <patternFill patternType="solid">
        <fgColor rgb="FFD9DEE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3BC"/>
      </left>
      <right style="thin">
        <color rgb="FF8FA3BC"/>
      </right>
      <top style="thin">
        <color rgb="FF8FA3BC"/>
      </top>
      <bottom style="thin">
        <color rgb="FF8FA3B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166" fontId="5" fillId="12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3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8C28"/>
  </sheetPr>
  <dimension ref="A1:AD4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38</v>
      </c>
      <c r="B3" s="3" t="s">
        <v>31</v>
      </c>
      <c r="C3" s="4">
        <v>46279</v>
      </c>
      <c r="D3" s="3" t="s">
        <v>32</v>
      </c>
      <c r="E3" s="5">
        <f>COUNT(E5:E48)</f>
        <v>37</v>
      </c>
      <c r="F3" s="3"/>
      <c r="G3" s="3"/>
      <c r="H3" s="3"/>
      <c r="I3" s="3"/>
      <c r="J3" s="3"/>
      <c r="K3" s="3"/>
      <c r="L3" s="3" t="s">
        <v>33</v>
      </c>
      <c r="M3" s="6">
        <f>SUMPRODUCT(L5:L48,M5:M48)</f>
        <v>1836.0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COUNT(F6:F10)</f>
        <v>5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SUM(Q6:Q10)</f>
        <v>266.0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46279</v>
      </c>
      <c r="B6" s="12" t="s">
        <v>37</v>
      </c>
      <c r="C6" s="12" t="s">
        <v>38</v>
      </c>
      <c r="D6" s="13" t="s">
        <v>39</v>
      </c>
      <c r="E6" s="14">
        <v>26100376</v>
      </c>
      <c r="F6" s="14">
        <v>10</v>
      </c>
      <c r="G6" s="13" t="s">
        <v>40</v>
      </c>
      <c r="H6" s="12" t="s">
        <v>41</v>
      </c>
      <c r="I6" s="13" t="s">
        <v>42</v>
      </c>
      <c r="J6" s="13" t="s">
        <v>43</v>
      </c>
      <c r="K6" s="12" t="s">
        <v>44</v>
      </c>
      <c r="L6" s="15">
        <v>8</v>
      </c>
      <c r="M6" s="14">
        <v>12</v>
      </c>
      <c r="N6" s="14">
        <v>12</v>
      </c>
      <c r="O6" s="12"/>
      <c r="P6" s="12"/>
      <c r="Q6" s="16">
        <f>N6*L6</f>
        <v>96.0</v>
      </c>
      <c r="R6" s="11">
        <v>46279</v>
      </c>
      <c r="S6" s="11">
        <v>46281</v>
      </c>
      <c r="T6" s="11"/>
      <c r="U6" s="12"/>
      <c r="V6" s="12"/>
      <c r="W6" s="12" t="s">
        <v>45</v>
      </c>
      <c r="X6" s="13" t="s">
        <v>46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46279</v>
      </c>
      <c r="B7" s="12" t="s">
        <v>47</v>
      </c>
      <c r="C7" s="12" t="s">
        <v>38</v>
      </c>
      <c r="D7" s="13" t="s">
        <v>39</v>
      </c>
      <c r="E7" s="14">
        <v>26100379</v>
      </c>
      <c r="F7" s="14">
        <v>10</v>
      </c>
      <c r="G7" s="13" t="s">
        <v>40</v>
      </c>
      <c r="H7" s="12" t="s">
        <v>48</v>
      </c>
      <c r="I7" s="13" t="s">
        <v>42</v>
      </c>
      <c r="J7" s="13" t="s">
        <v>43</v>
      </c>
      <c r="K7" s="12" t="s">
        <v>49</v>
      </c>
      <c r="L7" s="15">
        <v>8</v>
      </c>
      <c r="M7" s="14">
        <v>8</v>
      </c>
      <c r="N7" s="14">
        <v>9</v>
      </c>
      <c r="O7" s="12"/>
      <c r="P7" s="12"/>
      <c r="Q7" s="16">
        <f>N7*L7</f>
        <v>72.0</v>
      </c>
      <c r="R7" s="11">
        <v>46279</v>
      </c>
      <c r="S7" s="11">
        <v>46281</v>
      </c>
      <c r="T7" s="11"/>
      <c r="U7" s="12"/>
      <c r="V7" s="12"/>
      <c r="W7" s="12" t="s">
        <v>50</v>
      </c>
      <c r="X7" s="13" t="s">
        <v>46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46279</v>
      </c>
      <c r="B8" s="12" t="s">
        <v>51</v>
      </c>
      <c r="C8" s="12" t="s">
        <v>52</v>
      </c>
      <c r="D8" s="13" t="s">
        <v>39</v>
      </c>
      <c r="E8" s="14">
        <v>26100385</v>
      </c>
      <c r="F8" s="14">
        <v>10</v>
      </c>
      <c r="G8" s="13" t="s">
        <v>40</v>
      </c>
      <c r="H8" s="12" t="s">
        <v>53</v>
      </c>
      <c r="I8" s="13" t="s">
        <v>42</v>
      </c>
      <c r="J8" s="13" t="s">
        <v>54</v>
      </c>
      <c r="K8" s="12" t="s">
        <v>55</v>
      </c>
      <c r="L8" s="15">
        <v>6</v>
      </c>
      <c r="M8" s="14">
        <v>6</v>
      </c>
      <c r="N8" s="14">
        <v>6</v>
      </c>
      <c r="O8" s="12"/>
      <c r="P8" s="12"/>
      <c r="Q8" s="16">
        <f>N8*L8</f>
        <v>36.0</v>
      </c>
      <c r="R8" s="11">
        <v>46279</v>
      </c>
      <c r="S8" s="11">
        <v>46281</v>
      </c>
      <c r="T8" s="11"/>
      <c r="U8" s="12"/>
      <c r="V8" s="12"/>
      <c r="W8" s="12" t="s">
        <v>56</v>
      </c>
      <c r="X8" s="13" t="s">
        <v>57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46279</v>
      </c>
      <c r="B9" s="12" t="s">
        <v>37</v>
      </c>
      <c r="C9" s="12" t="s">
        <v>58</v>
      </c>
      <c r="D9" s="13" t="s">
        <v>59</v>
      </c>
      <c r="E9" s="14">
        <v>26100409</v>
      </c>
      <c r="F9" s="14">
        <v>10</v>
      </c>
      <c r="G9" s="13" t="s">
        <v>40</v>
      </c>
      <c r="H9" s="12" t="s">
        <v>60</v>
      </c>
      <c r="I9" s="13" t="s">
        <v>42</v>
      </c>
      <c r="J9" s="13" t="s">
        <v>43</v>
      </c>
      <c r="K9" s="12" t="s">
        <v>61</v>
      </c>
      <c r="L9" s="15">
        <v>1</v>
      </c>
      <c r="M9" s="14">
        <v>14</v>
      </c>
      <c r="N9" s="14">
        <v>14</v>
      </c>
      <c r="O9" s="12"/>
      <c r="P9" s="12"/>
      <c r="Q9" s="16">
        <f>N9*L9</f>
        <v>14.0</v>
      </c>
      <c r="R9" s="11">
        <v>46279</v>
      </c>
      <c r="S9" s="11">
        <v>46281</v>
      </c>
      <c r="T9" s="11"/>
      <c r="U9" s="12"/>
      <c r="V9" s="12"/>
      <c r="W9" s="12" t="s">
        <v>62</v>
      </c>
      <c r="X9" s="13" t="s">
        <v>63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46279</v>
      </c>
      <c r="B10" s="12" t="s">
        <v>64</v>
      </c>
      <c r="C10" s="12" t="s">
        <v>65</v>
      </c>
      <c r="D10" s="13" t="s">
        <v>39</v>
      </c>
      <c r="E10" s="14">
        <v>26100400</v>
      </c>
      <c r="F10" s="14">
        <v>10</v>
      </c>
      <c r="G10" s="13" t="s">
        <v>40</v>
      </c>
      <c r="H10" s="12" t="s">
        <v>66</v>
      </c>
      <c r="I10" s="13" t="s">
        <v>67</v>
      </c>
      <c r="J10" s="13" t="s">
        <v>68</v>
      </c>
      <c r="K10" s="12" t="s">
        <v>69</v>
      </c>
      <c r="L10" s="15">
        <v>8</v>
      </c>
      <c r="M10" s="14">
        <v>6</v>
      </c>
      <c r="N10" s="14">
        <v>6</v>
      </c>
      <c r="O10" s="12"/>
      <c r="P10" s="12"/>
      <c r="Q10" s="16">
        <f>N10*L10</f>
        <v>48.0</v>
      </c>
      <c r="R10" s="11">
        <v>46279</v>
      </c>
      <c r="S10" s="11">
        <v>46281</v>
      </c>
      <c r="T10" s="11"/>
      <c r="U10" s="12"/>
      <c r="V10" s="12"/>
      <c r="W10" s="12" t="s">
        <v>70</v>
      </c>
      <c r="X10" s="13" t="s">
        <v>71</v>
      </c>
      <c r="Y10" s="13"/>
      <c r="Z10" s="13"/>
      <c r="AA10" s="13"/>
      <c r="AB10" s="13"/>
      <c r="AC10" s="12"/>
      <c r="AD10" s="15"/>
    </row>
    <row r="11" spans="1:30">
      <c r="A11" s="8" t="s">
        <v>72</v>
      </c>
      <c r="B11" s="9"/>
      <c r="C11" s="9"/>
      <c r="D11" s="9"/>
      <c r="E11" s="9" t="s">
        <v>35</v>
      </c>
      <c r="F11" s="9">
        <f>COUNT(F12:F19)</f>
        <v>8</v>
      </c>
      <c r="G11" s="9"/>
      <c r="H11" s="9"/>
      <c r="I11" s="9"/>
      <c r="J11" s="9"/>
      <c r="K11" s="9"/>
      <c r="L11" s="9"/>
      <c r="M11" s="8" t="s">
        <v>36</v>
      </c>
      <c r="N11" s="9"/>
      <c r="O11" s="9"/>
      <c r="P11" s="9"/>
      <c r="Q11" s="10">
        <f>SUM(Q12:Q19)</f>
        <v>416.0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2.5" customHeight="1">
      <c r="A12" s="17">
        <f>IF($C$3="","",$C$3+1)</f>
        <v>46280</v>
      </c>
      <c r="B12" s="18" t="s">
        <v>37</v>
      </c>
      <c r="C12" s="18" t="s">
        <v>38</v>
      </c>
      <c r="D12" s="19" t="s">
        <v>39</v>
      </c>
      <c r="E12" s="20">
        <v>26100376</v>
      </c>
      <c r="F12" s="20">
        <v>10</v>
      </c>
      <c r="G12" s="19" t="s">
        <v>40</v>
      </c>
      <c r="H12" s="18" t="s">
        <v>41</v>
      </c>
      <c r="I12" s="19" t="s">
        <v>42</v>
      </c>
      <c r="J12" s="19" t="s">
        <v>43</v>
      </c>
      <c r="K12" s="18" t="s">
        <v>44</v>
      </c>
      <c r="L12" s="21">
        <v>8</v>
      </c>
      <c r="M12" s="20">
        <v>12</v>
      </c>
      <c r="N12" s="20">
        <v>12</v>
      </c>
      <c r="O12" s="18"/>
      <c r="P12" s="18"/>
      <c r="Q12" s="16">
        <f>N12*L12</f>
        <v>96.0</v>
      </c>
      <c r="R12" s="17">
        <v>46280</v>
      </c>
      <c r="S12" s="17">
        <v>46282</v>
      </c>
      <c r="T12" s="17"/>
      <c r="U12" s="18"/>
      <c r="V12" s="18"/>
      <c r="W12" s="18" t="s">
        <v>45</v>
      </c>
      <c r="X12" s="19" t="s">
        <v>46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46280</v>
      </c>
      <c r="B13" s="18" t="s">
        <v>37</v>
      </c>
      <c r="C13" s="18" t="s">
        <v>38</v>
      </c>
      <c r="D13" s="19" t="s">
        <v>39</v>
      </c>
      <c r="E13" s="20">
        <v>26100376</v>
      </c>
      <c r="F13" s="20">
        <v>20</v>
      </c>
      <c r="G13" s="19" t="s">
        <v>40</v>
      </c>
      <c r="H13" s="18" t="s">
        <v>73</v>
      </c>
      <c r="I13" s="19" t="s">
        <v>42</v>
      </c>
      <c r="J13" s="19" t="s">
        <v>43</v>
      </c>
      <c r="K13" s="18" t="s">
        <v>74</v>
      </c>
      <c r="L13" s="21">
        <v>8</v>
      </c>
      <c r="M13" s="20">
        <v>10</v>
      </c>
      <c r="N13" s="20">
        <v>9</v>
      </c>
      <c r="O13" s="18"/>
      <c r="P13" s="18"/>
      <c r="Q13" s="16">
        <f>N13*L13</f>
        <v>72.0</v>
      </c>
      <c r="R13" s="17">
        <v>46280</v>
      </c>
      <c r="S13" s="17">
        <v>46282</v>
      </c>
      <c r="T13" s="17"/>
      <c r="U13" s="18"/>
      <c r="V13" s="18"/>
      <c r="W13" s="18" t="s">
        <v>75</v>
      </c>
      <c r="X13" s="19" t="s">
        <v>76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46280</v>
      </c>
      <c r="B14" s="18" t="s">
        <v>47</v>
      </c>
      <c r="C14" s="18" t="s">
        <v>38</v>
      </c>
      <c r="D14" s="19" t="s">
        <v>39</v>
      </c>
      <c r="E14" s="20">
        <v>26100379</v>
      </c>
      <c r="F14" s="20">
        <v>10</v>
      </c>
      <c r="G14" s="19" t="s">
        <v>40</v>
      </c>
      <c r="H14" s="18" t="s">
        <v>48</v>
      </c>
      <c r="I14" s="19" t="s">
        <v>42</v>
      </c>
      <c r="J14" s="19" t="s">
        <v>43</v>
      </c>
      <c r="K14" s="18" t="s">
        <v>49</v>
      </c>
      <c r="L14" s="21">
        <v>8</v>
      </c>
      <c r="M14" s="20">
        <v>8</v>
      </c>
      <c r="N14" s="20">
        <v>8</v>
      </c>
      <c r="O14" s="18"/>
      <c r="P14" s="18"/>
      <c r="Q14" s="16">
        <f>N14*L14</f>
        <v>64.0</v>
      </c>
      <c r="R14" s="17">
        <v>46280</v>
      </c>
      <c r="S14" s="17">
        <v>46282</v>
      </c>
      <c r="T14" s="17"/>
      <c r="U14" s="18"/>
      <c r="V14" s="18"/>
      <c r="W14" s="18" t="s">
        <v>50</v>
      </c>
      <c r="X14" s="19" t="s">
        <v>46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46280</v>
      </c>
      <c r="B15" s="18" t="s">
        <v>51</v>
      </c>
      <c r="C15" s="18" t="s">
        <v>52</v>
      </c>
      <c r="D15" s="19" t="s">
        <v>39</v>
      </c>
      <c r="E15" s="20">
        <v>26100385</v>
      </c>
      <c r="F15" s="20">
        <v>20</v>
      </c>
      <c r="G15" s="19" t="s">
        <v>40</v>
      </c>
      <c r="H15" s="18" t="s">
        <v>77</v>
      </c>
      <c r="I15" s="19" t="s">
        <v>42</v>
      </c>
      <c r="J15" s="19" t="s">
        <v>54</v>
      </c>
      <c r="K15" s="18" t="s">
        <v>78</v>
      </c>
      <c r="L15" s="21">
        <v>8</v>
      </c>
      <c r="M15" s="20">
        <v>8</v>
      </c>
      <c r="N15" s="20">
        <v>6</v>
      </c>
      <c r="O15" s="18" t="s">
        <v>79</v>
      </c>
      <c r="P15" s="18"/>
      <c r="Q15" s="16">
        <f>N15*L15</f>
        <v>48.0</v>
      </c>
      <c r="R15" s="17">
        <v>46280</v>
      </c>
      <c r="S15" s="17">
        <v>46282</v>
      </c>
      <c r="T15" s="17"/>
      <c r="U15" s="18" t="s">
        <v>80</v>
      </c>
      <c r="V15" s="18"/>
      <c r="W15" s="18" t="s">
        <v>81</v>
      </c>
      <c r="X15" s="19" t="s">
        <v>82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46280</v>
      </c>
      <c r="B16" s="18" t="s">
        <v>51</v>
      </c>
      <c r="C16" s="18" t="s">
        <v>83</v>
      </c>
      <c r="D16" s="19" t="s">
        <v>39</v>
      </c>
      <c r="E16" s="20">
        <v>26100388</v>
      </c>
      <c r="F16" s="20">
        <v>10</v>
      </c>
      <c r="G16" s="19" t="s">
        <v>40</v>
      </c>
      <c r="H16" s="18" t="s">
        <v>84</v>
      </c>
      <c r="I16" s="19" t="s">
        <v>67</v>
      </c>
      <c r="J16" s="19" t="s">
        <v>85</v>
      </c>
      <c r="K16" s="18" t="s">
        <v>86</v>
      </c>
      <c r="L16" s="21">
        <v>8</v>
      </c>
      <c r="M16" s="20">
        <v>5</v>
      </c>
      <c r="N16" s="20">
        <v>5</v>
      </c>
      <c r="O16" s="18"/>
      <c r="P16" s="18"/>
      <c r="Q16" s="16">
        <f>N16*L16</f>
        <v>40.0</v>
      </c>
      <c r="R16" s="17">
        <v>46280</v>
      </c>
      <c r="S16" s="17">
        <v>46282</v>
      </c>
      <c r="T16" s="17"/>
      <c r="U16" s="18"/>
      <c r="V16" s="18"/>
      <c r="W16" s="18" t="s">
        <v>87</v>
      </c>
      <c r="X16" s="19" t="s">
        <v>88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IF($C$3="","",$C$3+1)</f>
        <v>46280</v>
      </c>
      <c r="B17" s="18" t="s">
        <v>64</v>
      </c>
      <c r="C17" s="18" t="s">
        <v>65</v>
      </c>
      <c r="D17" s="19" t="s">
        <v>39</v>
      </c>
      <c r="E17" s="20">
        <v>26100400</v>
      </c>
      <c r="F17" s="20">
        <v>10</v>
      </c>
      <c r="G17" s="19" t="s">
        <v>40</v>
      </c>
      <c r="H17" s="18" t="s">
        <v>66</v>
      </c>
      <c r="I17" s="19" t="s">
        <v>67</v>
      </c>
      <c r="J17" s="19" t="s">
        <v>68</v>
      </c>
      <c r="K17" s="18" t="s">
        <v>69</v>
      </c>
      <c r="L17" s="21">
        <v>8</v>
      </c>
      <c r="M17" s="20">
        <v>6</v>
      </c>
      <c r="N17" s="20">
        <v>4</v>
      </c>
      <c r="O17" s="18" t="s">
        <v>79</v>
      </c>
      <c r="P17" s="18"/>
      <c r="Q17" s="16">
        <f>N17*L17</f>
        <v>32.0</v>
      </c>
      <c r="R17" s="17">
        <v>46280</v>
      </c>
      <c r="S17" s="17">
        <v>46282</v>
      </c>
      <c r="T17" s="17"/>
      <c r="U17" s="18" t="s">
        <v>80</v>
      </c>
      <c r="V17" s="18"/>
      <c r="W17" s="18" t="s">
        <v>70</v>
      </c>
      <c r="X17" s="19" t="s">
        <v>71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IF($C$3="","",$C$3+1)</f>
        <v>46280</v>
      </c>
      <c r="B18" s="18" t="s">
        <v>89</v>
      </c>
      <c r="C18" s="18" t="s">
        <v>90</v>
      </c>
      <c r="D18" s="19" t="s">
        <v>39</v>
      </c>
      <c r="E18" s="20">
        <v>26100406</v>
      </c>
      <c r="F18" s="20">
        <v>10</v>
      </c>
      <c r="G18" s="19" t="s">
        <v>40</v>
      </c>
      <c r="H18" s="18" t="s">
        <v>91</v>
      </c>
      <c r="I18" s="19" t="s">
        <v>67</v>
      </c>
      <c r="J18" s="19" t="s">
        <v>68</v>
      </c>
      <c r="K18" s="18" t="s">
        <v>92</v>
      </c>
      <c r="L18" s="21">
        <v>8</v>
      </c>
      <c r="M18" s="20">
        <v>6</v>
      </c>
      <c r="N18" s="20">
        <v>6</v>
      </c>
      <c r="O18" s="18"/>
      <c r="P18" s="18"/>
      <c r="Q18" s="16">
        <f>N18*L18</f>
        <v>48.0</v>
      </c>
      <c r="R18" s="17">
        <v>46280</v>
      </c>
      <c r="S18" s="17">
        <v>46282</v>
      </c>
      <c r="T18" s="17"/>
      <c r="U18" s="18"/>
      <c r="V18" s="18"/>
      <c r="W18" s="18" t="s">
        <v>93</v>
      </c>
      <c r="X18" s="19" t="s">
        <v>94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IF($C$3="","",$C$3+1)</f>
        <v>46280</v>
      </c>
      <c r="B19" s="18" t="s">
        <v>95</v>
      </c>
      <c r="C19" s="18" t="s">
        <v>96</v>
      </c>
      <c r="D19" s="19" t="s">
        <v>97</v>
      </c>
      <c r="E19" s="20">
        <v>26100415</v>
      </c>
      <c r="F19" s="20">
        <v>10</v>
      </c>
      <c r="G19" s="19" t="s">
        <v>40</v>
      </c>
      <c r="H19" s="18" t="s">
        <v>98</v>
      </c>
      <c r="I19" s="19" t="s">
        <v>67</v>
      </c>
      <c r="J19" s="19" t="s">
        <v>68</v>
      </c>
      <c r="K19" s="18" t="s">
        <v>99</v>
      </c>
      <c r="L19" s="21">
        <v>4</v>
      </c>
      <c r="M19" s="20">
        <v>4</v>
      </c>
      <c r="N19" s="20">
        <v>4</v>
      </c>
      <c r="O19" s="18"/>
      <c r="P19" s="18"/>
      <c r="Q19" s="16">
        <f>N19*L19</f>
        <v>16.0</v>
      </c>
      <c r="R19" s="17">
        <v>46280</v>
      </c>
      <c r="S19" s="17">
        <v>46282</v>
      </c>
      <c r="T19" s="17"/>
      <c r="U19" s="18"/>
      <c r="V19" s="18"/>
      <c r="W19" s="18" t="s">
        <v>100</v>
      </c>
      <c r="X19" s="19" t="s">
        <v>101</v>
      </c>
      <c r="Y19" s="19"/>
      <c r="Z19" s="19"/>
      <c r="AA19" s="19"/>
      <c r="AB19" s="19"/>
      <c r="AC19" s="18"/>
      <c r="AD19" s="21"/>
    </row>
    <row r="20" spans="1:30">
      <c r="A20" s="8" t="s">
        <v>102</v>
      </c>
      <c r="B20" s="9"/>
      <c r="C20" s="9"/>
      <c r="D20" s="9"/>
      <c r="E20" s="9" t="s">
        <v>35</v>
      </c>
      <c r="F20" s="9">
        <f>COUNT(F21:F26)</f>
        <v>6</v>
      </c>
      <c r="G20" s="9"/>
      <c r="H20" s="9"/>
      <c r="I20" s="9"/>
      <c r="J20" s="9"/>
      <c r="K20" s="9"/>
      <c r="L20" s="9"/>
      <c r="M20" s="8" t="s">
        <v>36</v>
      </c>
      <c r="N20" s="9"/>
      <c r="O20" s="9"/>
      <c r="P20" s="9"/>
      <c r="Q20" s="10">
        <f>SUM(Q21:Q26)</f>
        <v>298.0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2.5" customHeight="1">
      <c r="A21" s="22">
        <f>IF($C$3="","",$C$3+2)</f>
        <v>46281</v>
      </c>
      <c r="B21" s="23" t="s">
        <v>37</v>
      </c>
      <c r="C21" s="23" t="s">
        <v>38</v>
      </c>
      <c r="D21" s="24" t="s">
        <v>39</v>
      </c>
      <c r="E21" s="25">
        <v>26100376</v>
      </c>
      <c r="F21" s="25">
        <v>20</v>
      </c>
      <c r="G21" s="24" t="s">
        <v>40</v>
      </c>
      <c r="H21" s="23" t="s">
        <v>73</v>
      </c>
      <c r="I21" s="24" t="s">
        <v>42</v>
      </c>
      <c r="J21" s="24" t="s">
        <v>43</v>
      </c>
      <c r="K21" s="23" t="s">
        <v>74</v>
      </c>
      <c r="L21" s="26">
        <v>8</v>
      </c>
      <c r="M21" s="25">
        <v>10</v>
      </c>
      <c r="N21" s="25">
        <v>9</v>
      </c>
      <c r="O21" s="23"/>
      <c r="P21" s="23"/>
      <c r="Q21" s="16">
        <f>N21*L21</f>
        <v>72.0</v>
      </c>
      <c r="R21" s="22">
        <v>46281</v>
      </c>
      <c r="S21" s="22">
        <v>46283</v>
      </c>
      <c r="T21" s="22"/>
      <c r="U21" s="23"/>
      <c r="V21" s="23"/>
      <c r="W21" s="23" t="s">
        <v>75</v>
      </c>
      <c r="X21" s="24" t="s">
        <v>76</v>
      </c>
      <c r="Y21" s="24"/>
      <c r="Z21" s="24"/>
      <c r="AA21" s="24"/>
      <c r="AB21" s="24"/>
      <c r="AC21" s="23" t="s">
        <v>103</v>
      </c>
      <c r="AD21" s="26">
        <v>1</v>
      </c>
    </row>
    <row r="22" spans="1:30" ht="12.5" customHeight="1">
      <c r="A22" s="22">
        <f>IF($C$3="","",$C$3+2)</f>
        <v>46281</v>
      </c>
      <c r="B22" s="23" t="s">
        <v>47</v>
      </c>
      <c r="C22" s="23" t="s">
        <v>38</v>
      </c>
      <c r="D22" s="24" t="s">
        <v>39</v>
      </c>
      <c r="E22" s="25">
        <v>26100379</v>
      </c>
      <c r="F22" s="25">
        <v>20</v>
      </c>
      <c r="G22" s="24" t="s">
        <v>40</v>
      </c>
      <c r="H22" s="23" t="s">
        <v>104</v>
      </c>
      <c r="I22" s="24" t="s">
        <v>42</v>
      </c>
      <c r="J22" s="24" t="s">
        <v>43</v>
      </c>
      <c r="K22" s="23" t="s">
        <v>74</v>
      </c>
      <c r="L22" s="26">
        <v>8</v>
      </c>
      <c r="M22" s="25">
        <v>8</v>
      </c>
      <c r="N22" s="25">
        <v>8</v>
      </c>
      <c r="O22" s="23"/>
      <c r="P22" s="23"/>
      <c r="Q22" s="16">
        <f>N22*L22</f>
        <v>64.0</v>
      </c>
      <c r="R22" s="22">
        <v>46281</v>
      </c>
      <c r="S22" s="22">
        <v>46283</v>
      </c>
      <c r="T22" s="22"/>
      <c r="U22" s="23"/>
      <c r="V22" s="23"/>
      <c r="W22" s="23" t="s">
        <v>105</v>
      </c>
      <c r="X22" s="24" t="s">
        <v>76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46281</v>
      </c>
      <c r="B23" s="23" t="s">
        <v>51</v>
      </c>
      <c r="C23" s="23" t="s">
        <v>52</v>
      </c>
      <c r="D23" s="24" t="s">
        <v>39</v>
      </c>
      <c r="E23" s="25">
        <v>26100385</v>
      </c>
      <c r="F23" s="25">
        <v>20</v>
      </c>
      <c r="G23" s="24" t="s">
        <v>40</v>
      </c>
      <c r="H23" s="23" t="s">
        <v>77</v>
      </c>
      <c r="I23" s="24" t="s">
        <v>42</v>
      </c>
      <c r="J23" s="24" t="s">
        <v>54</v>
      </c>
      <c r="K23" s="23" t="s">
        <v>78</v>
      </c>
      <c r="L23" s="26">
        <v>8</v>
      </c>
      <c r="M23" s="25">
        <v>8</v>
      </c>
      <c r="N23" s="25">
        <v>6</v>
      </c>
      <c r="O23" s="23" t="s">
        <v>79</v>
      </c>
      <c r="P23" s="23"/>
      <c r="Q23" s="16">
        <f>N23*L23</f>
        <v>48.0</v>
      </c>
      <c r="R23" s="22">
        <v>46281</v>
      </c>
      <c r="S23" s="22">
        <v>46283</v>
      </c>
      <c r="T23" s="22"/>
      <c r="U23" s="23" t="s">
        <v>80</v>
      </c>
      <c r="V23" s="23"/>
      <c r="W23" s="23" t="s">
        <v>81</v>
      </c>
      <c r="X23" s="24" t="s">
        <v>82</v>
      </c>
      <c r="Y23" s="24"/>
      <c r="Z23" s="24"/>
      <c r="AA23" s="24"/>
      <c r="AB23" s="24"/>
      <c r="AC23" s="23" t="s">
        <v>103</v>
      </c>
      <c r="AD23" s="26">
        <v>2</v>
      </c>
    </row>
    <row r="24" spans="1:30" ht="12.5" customHeight="1">
      <c r="A24" s="22">
        <f>IF($C$3="","",$C$3+2)</f>
        <v>46281</v>
      </c>
      <c r="B24" s="23" t="s">
        <v>51</v>
      </c>
      <c r="C24" s="23" t="s">
        <v>83</v>
      </c>
      <c r="D24" s="24" t="s">
        <v>39</v>
      </c>
      <c r="E24" s="25">
        <v>26100388</v>
      </c>
      <c r="F24" s="25">
        <v>10</v>
      </c>
      <c r="G24" s="24" t="s">
        <v>40</v>
      </c>
      <c r="H24" s="23" t="s">
        <v>84</v>
      </c>
      <c r="I24" s="24" t="s">
        <v>67</v>
      </c>
      <c r="J24" s="24" t="s">
        <v>85</v>
      </c>
      <c r="K24" s="23" t="s">
        <v>86</v>
      </c>
      <c r="L24" s="26">
        <v>8</v>
      </c>
      <c r="M24" s="25">
        <v>5</v>
      </c>
      <c r="N24" s="25">
        <v>5</v>
      </c>
      <c r="O24" s="23"/>
      <c r="P24" s="23"/>
      <c r="Q24" s="16">
        <f>N24*L24</f>
        <v>40.0</v>
      </c>
      <c r="R24" s="22">
        <v>46281</v>
      </c>
      <c r="S24" s="22">
        <v>46283</v>
      </c>
      <c r="T24" s="22"/>
      <c r="U24" s="23"/>
      <c r="V24" s="23"/>
      <c r="W24" s="23" t="s">
        <v>87</v>
      </c>
      <c r="X24" s="24" t="s">
        <v>88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IF($C$3="","",$C$3+2)</f>
        <v>46281</v>
      </c>
      <c r="B25" s="23" t="s">
        <v>37</v>
      </c>
      <c r="C25" s="23" t="s">
        <v>106</v>
      </c>
      <c r="D25" s="24" t="s">
        <v>39</v>
      </c>
      <c r="E25" s="25">
        <v>26100394</v>
      </c>
      <c r="F25" s="25">
        <v>10</v>
      </c>
      <c r="G25" s="24" t="s">
        <v>40</v>
      </c>
      <c r="H25" s="23" t="s">
        <v>107</v>
      </c>
      <c r="I25" s="24" t="s">
        <v>67</v>
      </c>
      <c r="J25" s="24" t="s">
        <v>85</v>
      </c>
      <c r="K25" s="23" t="s">
        <v>108</v>
      </c>
      <c r="L25" s="26">
        <v>6</v>
      </c>
      <c r="M25" s="25">
        <v>4</v>
      </c>
      <c r="N25" s="25">
        <v>7</v>
      </c>
      <c r="O25" s="23" t="s">
        <v>109</v>
      </c>
      <c r="P25" s="23"/>
      <c r="Q25" s="16">
        <f>N25*L25</f>
        <v>42.0</v>
      </c>
      <c r="R25" s="22">
        <v>46281</v>
      </c>
      <c r="S25" s="22">
        <v>46283</v>
      </c>
      <c r="T25" s="22"/>
      <c r="U25" s="23"/>
      <c r="V25" s="23"/>
      <c r="W25" s="23" t="s">
        <v>110</v>
      </c>
      <c r="X25" s="24" t="s">
        <v>88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IF($C$3="","",$C$3+2)</f>
        <v>46281</v>
      </c>
      <c r="B26" s="23" t="s">
        <v>64</v>
      </c>
      <c r="C26" s="23" t="s">
        <v>65</v>
      </c>
      <c r="D26" s="24" t="s">
        <v>39</v>
      </c>
      <c r="E26" s="25">
        <v>26100400</v>
      </c>
      <c r="F26" s="25">
        <v>10</v>
      </c>
      <c r="G26" s="24" t="s">
        <v>40</v>
      </c>
      <c r="H26" s="23" t="s">
        <v>66</v>
      </c>
      <c r="I26" s="24" t="s">
        <v>67</v>
      </c>
      <c r="J26" s="24" t="s">
        <v>68</v>
      </c>
      <c r="K26" s="23" t="s">
        <v>69</v>
      </c>
      <c r="L26" s="26">
        <v>8</v>
      </c>
      <c r="M26" s="25">
        <v>6</v>
      </c>
      <c r="N26" s="25">
        <v>4</v>
      </c>
      <c r="O26" s="23" t="s">
        <v>79</v>
      </c>
      <c r="P26" s="23"/>
      <c r="Q26" s="16">
        <f>N26*L26</f>
        <v>32.0</v>
      </c>
      <c r="R26" s="22">
        <v>46281</v>
      </c>
      <c r="S26" s="22">
        <v>46283</v>
      </c>
      <c r="T26" s="22"/>
      <c r="U26" s="23" t="s">
        <v>80</v>
      </c>
      <c r="V26" s="23"/>
      <c r="W26" s="23" t="s">
        <v>70</v>
      </c>
      <c r="X26" s="24" t="s">
        <v>71</v>
      </c>
      <c r="Y26" s="24"/>
      <c r="Z26" s="24"/>
      <c r="AA26" s="24"/>
      <c r="AB26" s="24"/>
      <c r="AC26" s="23"/>
      <c r="AD26" s="26"/>
    </row>
    <row r="27" spans="1:30">
      <c r="A27" s="8" t="s">
        <v>111</v>
      </c>
      <c r="B27" s="9"/>
      <c r="C27" s="9"/>
      <c r="D27" s="9"/>
      <c r="E27" s="9" t="s">
        <v>35</v>
      </c>
      <c r="F27" s="9">
        <f>COUNT(F28:F36)</f>
        <v>9</v>
      </c>
      <c r="G27" s="9"/>
      <c r="H27" s="9"/>
      <c r="I27" s="9"/>
      <c r="J27" s="9"/>
      <c r="K27" s="9"/>
      <c r="L27" s="9"/>
      <c r="M27" s="8" t="s">
        <v>36</v>
      </c>
      <c r="N27" s="9"/>
      <c r="O27" s="9"/>
      <c r="P27" s="9"/>
      <c r="Q27" s="10">
        <f>SUM(Q28:Q36)</f>
        <v>436.0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2.5" customHeight="1">
      <c r="A28" s="27">
        <f>IF($C$3="","",$C$3+3)</f>
        <v>46282</v>
      </c>
      <c r="B28" s="28" t="s">
        <v>37</v>
      </c>
      <c r="C28" s="28" t="s">
        <v>38</v>
      </c>
      <c r="D28" s="29" t="s">
        <v>39</v>
      </c>
      <c r="E28" s="30">
        <v>26100376</v>
      </c>
      <c r="F28" s="30">
        <v>40</v>
      </c>
      <c r="G28" s="29" t="s">
        <v>112</v>
      </c>
      <c r="H28" s="28" t="s">
        <v>113</v>
      </c>
      <c r="I28" s="29" t="s">
        <v>42</v>
      </c>
      <c r="J28" s="29" t="s">
        <v>43</v>
      </c>
      <c r="K28" s="28" t="s">
        <v>114</v>
      </c>
      <c r="L28" s="31">
        <v>9</v>
      </c>
      <c r="M28" s="30">
        <v>14</v>
      </c>
      <c r="N28" s="30">
        <v>16</v>
      </c>
      <c r="O28" s="28" t="s">
        <v>115</v>
      </c>
      <c r="P28" s="28" t="s">
        <v>116</v>
      </c>
      <c r="Q28" s="16">
        <f>N28*L28</f>
        <v>144.0</v>
      </c>
      <c r="R28" s="27">
        <v>46282</v>
      </c>
      <c r="S28" s="27">
        <v>46284</v>
      </c>
      <c r="T28" s="27"/>
      <c r="U28" s="28"/>
      <c r="V28" s="28"/>
      <c r="W28" s="28" t="s">
        <v>117</v>
      </c>
      <c r="X28" s="29" t="s">
        <v>118</v>
      </c>
      <c r="Y28" s="29"/>
      <c r="Z28" s="29"/>
      <c r="AA28" s="29"/>
      <c r="AB28" s="29"/>
      <c r="AC28" s="28"/>
      <c r="AD28" s="31"/>
    </row>
    <row r="29" spans="1:30" ht="12.5" customHeight="1">
      <c r="A29" s="27">
        <f>IF($C$3="","",$C$3+3)</f>
        <v>46282</v>
      </c>
      <c r="B29" s="28" t="s">
        <v>47</v>
      </c>
      <c r="C29" s="28" t="s">
        <v>38</v>
      </c>
      <c r="D29" s="29" t="s">
        <v>39</v>
      </c>
      <c r="E29" s="30">
        <v>26100379</v>
      </c>
      <c r="F29" s="30">
        <v>20</v>
      </c>
      <c r="G29" s="29" t="s">
        <v>40</v>
      </c>
      <c r="H29" s="28" t="s">
        <v>104</v>
      </c>
      <c r="I29" s="29" t="s">
        <v>42</v>
      </c>
      <c r="J29" s="29" t="s">
        <v>43</v>
      </c>
      <c r="K29" s="28" t="s">
        <v>74</v>
      </c>
      <c r="L29" s="31">
        <v>8</v>
      </c>
      <c r="M29" s="30">
        <v>8</v>
      </c>
      <c r="N29" s="30">
        <v>8</v>
      </c>
      <c r="O29" s="28"/>
      <c r="P29" s="28"/>
      <c r="Q29" s="16">
        <f>N29*L29</f>
        <v>64.0</v>
      </c>
      <c r="R29" s="27">
        <v>46282</v>
      </c>
      <c r="S29" s="27">
        <v>46284</v>
      </c>
      <c r="T29" s="27"/>
      <c r="U29" s="28"/>
      <c r="V29" s="28"/>
      <c r="W29" s="28" t="s">
        <v>105</v>
      </c>
      <c r="X29" s="29" t="s">
        <v>76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46282</v>
      </c>
      <c r="B30" s="28" t="s">
        <v>51</v>
      </c>
      <c r="C30" s="28" t="s">
        <v>52</v>
      </c>
      <c r="D30" s="29" t="s">
        <v>39</v>
      </c>
      <c r="E30" s="30">
        <v>26100385</v>
      </c>
      <c r="F30" s="30">
        <v>20</v>
      </c>
      <c r="G30" s="29" t="s">
        <v>40</v>
      </c>
      <c r="H30" s="28" t="s">
        <v>77</v>
      </c>
      <c r="I30" s="29" t="s">
        <v>42</v>
      </c>
      <c r="J30" s="29" t="s">
        <v>54</v>
      </c>
      <c r="K30" s="28" t="s">
        <v>78</v>
      </c>
      <c r="L30" s="31">
        <v>8</v>
      </c>
      <c r="M30" s="30">
        <v>8</v>
      </c>
      <c r="N30" s="30">
        <v>6</v>
      </c>
      <c r="O30" s="28" t="s">
        <v>79</v>
      </c>
      <c r="P30" s="28"/>
      <c r="Q30" s="16">
        <f>N30*L30</f>
        <v>48.0</v>
      </c>
      <c r="R30" s="27">
        <v>46282</v>
      </c>
      <c r="S30" s="27">
        <v>46284</v>
      </c>
      <c r="T30" s="27"/>
      <c r="U30" s="28" t="s">
        <v>80</v>
      </c>
      <c r="V30" s="28"/>
      <c r="W30" s="28" t="s">
        <v>81</v>
      </c>
      <c r="X30" s="29" t="s">
        <v>82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46282</v>
      </c>
      <c r="B31" s="28" t="s">
        <v>37</v>
      </c>
      <c r="C31" s="28" t="s">
        <v>58</v>
      </c>
      <c r="D31" s="29" t="s">
        <v>59</v>
      </c>
      <c r="E31" s="30">
        <v>26100412</v>
      </c>
      <c r="F31" s="30">
        <v>10</v>
      </c>
      <c r="G31" s="29" t="s">
        <v>40</v>
      </c>
      <c r="H31" s="28" t="s">
        <v>119</v>
      </c>
      <c r="I31" s="29" t="s">
        <v>42</v>
      </c>
      <c r="J31" s="29" t="s">
        <v>54</v>
      </c>
      <c r="K31" s="28" t="s">
        <v>61</v>
      </c>
      <c r="L31" s="31">
        <v>2</v>
      </c>
      <c r="M31" s="30">
        <v>4</v>
      </c>
      <c r="N31" s="30">
        <v>4</v>
      </c>
      <c r="O31" s="28"/>
      <c r="P31" s="28"/>
      <c r="Q31" s="16">
        <f>N31*L31</f>
        <v>8.0</v>
      </c>
      <c r="R31" s="27">
        <v>46282</v>
      </c>
      <c r="S31" s="27">
        <v>46284</v>
      </c>
      <c r="T31" s="27"/>
      <c r="U31" s="28"/>
      <c r="V31" s="28"/>
      <c r="W31" s="28" t="s">
        <v>62</v>
      </c>
      <c r="X31" s="29" t="s">
        <v>63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46282</v>
      </c>
      <c r="B32" s="28" t="s">
        <v>51</v>
      </c>
      <c r="C32" s="28" t="s">
        <v>83</v>
      </c>
      <c r="D32" s="29" t="s">
        <v>120</v>
      </c>
      <c r="E32" s="30">
        <v>26100388</v>
      </c>
      <c r="F32" s="30">
        <v>20</v>
      </c>
      <c r="G32" s="29" t="s">
        <v>112</v>
      </c>
      <c r="H32" s="28" t="s">
        <v>121</v>
      </c>
      <c r="I32" s="29" t="s">
        <v>67</v>
      </c>
      <c r="J32" s="29" t="s">
        <v>85</v>
      </c>
      <c r="K32" s="28" t="s">
        <v>122</v>
      </c>
      <c r="L32" s="31">
        <v>4</v>
      </c>
      <c r="M32" s="30">
        <v>3</v>
      </c>
      <c r="N32" s="30">
        <v>4</v>
      </c>
      <c r="O32" s="28"/>
      <c r="P32" s="28" t="s">
        <v>123</v>
      </c>
      <c r="Q32" s="16">
        <f>N32*L32</f>
        <v>16.0</v>
      </c>
      <c r="R32" s="27">
        <v>46282</v>
      </c>
      <c r="S32" s="27">
        <v>46284</v>
      </c>
      <c r="T32" s="27"/>
      <c r="U32" s="28"/>
      <c r="V32" s="28"/>
      <c r="W32" s="28" t="s">
        <v>124</v>
      </c>
      <c r="X32" s="29" t="s">
        <v>125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IF($C$3="","",$C$3+3)</f>
        <v>46282</v>
      </c>
      <c r="B33" s="28" t="s">
        <v>51</v>
      </c>
      <c r="C33" s="28" t="s">
        <v>106</v>
      </c>
      <c r="D33" s="29" t="s">
        <v>39</v>
      </c>
      <c r="E33" s="30">
        <v>26100397</v>
      </c>
      <c r="F33" s="30">
        <v>10</v>
      </c>
      <c r="G33" s="29" t="s">
        <v>40</v>
      </c>
      <c r="H33" s="28" t="s">
        <v>126</v>
      </c>
      <c r="I33" s="29" t="s">
        <v>67</v>
      </c>
      <c r="J33" s="29" t="s">
        <v>85</v>
      </c>
      <c r="K33" s="28" t="s">
        <v>127</v>
      </c>
      <c r="L33" s="31">
        <v>8</v>
      </c>
      <c r="M33" s="30">
        <v>3</v>
      </c>
      <c r="N33" s="30">
        <v>3</v>
      </c>
      <c r="O33" s="28"/>
      <c r="P33" s="28"/>
      <c r="Q33" s="16">
        <f>N33*L33</f>
        <v>24.0</v>
      </c>
      <c r="R33" s="27">
        <v>46282</v>
      </c>
      <c r="S33" s="27">
        <v>46284</v>
      </c>
      <c r="T33" s="27"/>
      <c r="U33" s="28"/>
      <c r="V33" s="28"/>
      <c r="W33" s="28" t="s">
        <v>128</v>
      </c>
      <c r="X33" s="29" t="s">
        <v>88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IF($C$3="","",$C$3+3)</f>
        <v>46282</v>
      </c>
      <c r="B34" s="28" t="s">
        <v>129</v>
      </c>
      <c r="C34" s="28" t="s">
        <v>65</v>
      </c>
      <c r="D34" s="29" t="s">
        <v>39</v>
      </c>
      <c r="E34" s="30">
        <v>26100403</v>
      </c>
      <c r="F34" s="30">
        <v>10</v>
      </c>
      <c r="G34" s="29" t="s">
        <v>40</v>
      </c>
      <c r="H34" s="28" t="s">
        <v>130</v>
      </c>
      <c r="I34" s="29" t="s">
        <v>67</v>
      </c>
      <c r="J34" s="29" t="s">
        <v>68</v>
      </c>
      <c r="K34" s="28" t="s">
        <v>131</v>
      </c>
      <c r="L34" s="31">
        <v>8</v>
      </c>
      <c r="M34" s="30">
        <v>8</v>
      </c>
      <c r="N34" s="30">
        <v>6</v>
      </c>
      <c r="O34" s="28" t="s">
        <v>79</v>
      </c>
      <c r="P34" s="28"/>
      <c r="Q34" s="16">
        <f>N34*L34</f>
        <v>48.0</v>
      </c>
      <c r="R34" s="27">
        <v>46282</v>
      </c>
      <c r="S34" s="27">
        <v>46284</v>
      </c>
      <c r="T34" s="27"/>
      <c r="U34" s="28" t="s">
        <v>80</v>
      </c>
      <c r="V34" s="28"/>
      <c r="W34" s="28" t="s">
        <v>132</v>
      </c>
      <c r="X34" s="29" t="s">
        <v>71</v>
      </c>
      <c r="Y34" s="29"/>
      <c r="Z34" s="29"/>
      <c r="AA34" s="29"/>
      <c r="AB34" s="29"/>
      <c r="AC34" s="28"/>
      <c r="AD34" s="31"/>
    </row>
    <row r="35" spans="1:30" ht="12.5" customHeight="1">
      <c r="A35" s="27">
        <f>IF($C$3="","",$C$3+3)</f>
        <v>46282</v>
      </c>
      <c r="B35" s="28" t="s">
        <v>89</v>
      </c>
      <c r="C35" s="28" t="s">
        <v>90</v>
      </c>
      <c r="D35" s="29" t="s">
        <v>39</v>
      </c>
      <c r="E35" s="30">
        <v>26100406</v>
      </c>
      <c r="F35" s="30">
        <v>10</v>
      </c>
      <c r="G35" s="29" t="s">
        <v>40</v>
      </c>
      <c r="H35" s="28" t="s">
        <v>91</v>
      </c>
      <c r="I35" s="29" t="s">
        <v>67</v>
      </c>
      <c r="J35" s="29" t="s">
        <v>68</v>
      </c>
      <c r="K35" s="28" t="s">
        <v>92</v>
      </c>
      <c r="L35" s="31">
        <v>8</v>
      </c>
      <c r="M35" s="30">
        <v>6</v>
      </c>
      <c r="N35" s="30">
        <v>6</v>
      </c>
      <c r="O35" s="28"/>
      <c r="P35" s="28"/>
      <c r="Q35" s="16">
        <f>N35*L35</f>
        <v>48.0</v>
      </c>
      <c r="R35" s="27">
        <v>46282</v>
      </c>
      <c r="S35" s="27">
        <v>46284</v>
      </c>
      <c r="T35" s="27"/>
      <c r="U35" s="28"/>
      <c r="V35" s="28"/>
      <c r="W35" s="28" t="s">
        <v>93</v>
      </c>
      <c r="X35" s="29" t="s">
        <v>94</v>
      </c>
      <c r="Y35" s="29"/>
      <c r="Z35" s="29"/>
      <c r="AA35" s="29"/>
      <c r="AB35" s="29"/>
      <c r="AC35" s="28"/>
      <c r="AD35" s="31"/>
    </row>
    <row r="36" spans="1:30" ht="12.5" customHeight="1">
      <c r="A36" s="27">
        <f>IF($C$3="","",$C$3+3)</f>
        <v>46282</v>
      </c>
      <c r="B36" s="28" t="s">
        <v>37</v>
      </c>
      <c r="C36" s="28" t="s">
        <v>133</v>
      </c>
      <c r="D36" s="29" t="s">
        <v>134</v>
      </c>
      <c r="E36" s="30">
        <v>26100424</v>
      </c>
      <c r="F36" s="30">
        <v>10</v>
      </c>
      <c r="G36" s="29" t="s">
        <v>40</v>
      </c>
      <c r="H36" s="28" t="s">
        <v>135</v>
      </c>
      <c r="I36" s="29" t="s">
        <v>42</v>
      </c>
      <c r="J36" s="29"/>
      <c r="K36" s="28" t="s">
        <v>136</v>
      </c>
      <c r="L36" s="31">
        <v>6</v>
      </c>
      <c r="M36" s="30">
        <v>6</v>
      </c>
      <c r="N36" s="30">
        <v>6</v>
      </c>
      <c r="O36" s="28"/>
      <c r="P36" s="28"/>
      <c r="Q36" s="16">
        <f>N36*L36</f>
        <v>36.0</v>
      </c>
      <c r="R36" s="27">
        <v>46282</v>
      </c>
      <c r="S36" s="27">
        <v>46284</v>
      </c>
      <c r="T36" s="27"/>
      <c r="U36" s="28"/>
      <c r="V36" s="28"/>
      <c r="W36" s="28" t="s">
        <v>137</v>
      </c>
      <c r="X36" s="29" t="s">
        <v>138</v>
      </c>
      <c r="Y36" s="29"/>
      <c r="Z36" s="29"/>
      <c r="AA36" s="29"/>
      <c r="AB36" s="29"/>
      <c r="AC36" s="28"/>
      <c r="AD36" s="31"/>
    </row>
    <row r="37" spans="1:30">
      <c r="A37" s="8" t="s">
        <v>139</v>
      </c>
      <c r="B37" s="9"/>
      <c r="C37" s="9"/>
      <c r="D37" s="9"/>
      <c r="E37" s="9" t="s">
        <v>35</v>
      </c>
      <c r="F37" s="9">
        <f>COUNT(F38:F44)</f>
        <v>7</v>
      </c>
      <c r="G37" s="9"/>
      <c r="H37" s="9"/>
      <c r="I37" s="9"/>
      <c r="J37" s="9"/>
      <c r="K37" s="9"/>
      <c r="L37" s="9"/>
      <c r="M37" s="8" t="s">
        <v>36</v>
      </c>
      <c r="N37" s="9"/>
      <c r="O37" s="9"/>
      <c r="P37" s="9"/>
      <c r="Q37" s="10">
        <f>SUM(Q38:Q44)</f>
        <v>186.0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2.5" customHeight="1">
      <c r="A38" s="32">
        <f>IF($C$3="","",$C$3+4)</f>
        <v>46283</v>
      </c>
      <c r="B38" s="33" t="s">
        <v>37</v>
      </c>
      <c r="C38" s="33" t="s">
        <v>38</v>
      </c>
      <c r="D38" s="34" t="s">
        <v>120</v>
      </c>
      <c r="E38" s="35">
        <v>26100376</v>
      </c>
      <c r="F38" s="35">
        <v>50</v>
      </c>
      <c r="G38" s="34" t="s">
        <v>40</v>
      </c>
      <c r="H38" s="33" t="s">
        <v>140</v>
      </c>
      <c r="I38" s="34" t="s">
        <v>42</v>
      </c>
      <c r="J38" s="34" t="s">
        <v>43</v>
      </c>
      <c r="K38" s="33" t="s">
        <v>141</v>
      </c>
      <c r="L38" s="36">
        <v>4</v>
      </c>
      <c r="M38" s="35">
        <v>3</v>
      </c>
      <c r="N38" s="35">
        <v>3</v>
      </c>
      <c r="O38" s="33"/>
      <c r="P38" s="33"/>
      <c r="Q38" s="16">
        <f>N38*L38</f>
        <v>12.0</v>
      </c>
      <c r="R38" s="32">
        <v>46283</v>
      </c>
      <c r="S38" s="32">
        <v>46285</v>
      </c>
      <c r="T38" s="32"/>
      <c r="U38" s="33"/>
      <c r="V38" s="33"/>
      <c r="W38" s="33" t="s">
        <v>142</v>
      </c>
      <c r="X38" s="34" t="s">
        <v>143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46283</v>
      </c>
      <c r="B39" s="33" t="s">
        <v>47</v>
      </c>
      <c r="C39" s="33" t="s">
        <v>38</v>
      </c>
      <c r="D39" s="34" t="s">
        <v>39</v>
      </c>
      <c r="E39" s="35">
        <v>26100379</v>
      </c>
      <c r="F39" s="35">
        <v>30</v>
      </c>
      <c r="G39" s="34" t="s">
        <v>112</v>
      </c>
      <c r="H39" s="33" t="s">
        <v>144</v>
      </c>
      <c r="I39" s="34" t="s">
        <v>42</v>
      </c>
      <c r="J39" s="34" t="s">
        <v>43</v>
      </c>
      <c r="K39" s="33" t="s">
        <v>92</v>
      </c>
      <c r="L39" s="36">
        <v>9</v>
      </c>
      <c r="M39" s="35">
        <v>12</v>
      </c>
      <c r="N39" s="35">
        <v>14</v>
      </c>
      <c r="O39" s="33" t="s">
        <v>115</v>
      </c>
      <c r="P39" s="33" t="s">
        <v>116</v>
      </c>
      <c r="Q39" s="16">
        <f>N39*L39</f>
        <v>126.0</v>
      </c>
      <c r="R39" s="32">
        <v>46283</v>
      </c>
      <c r="S39" s="32">
        <v>46285</v>
      </c>
      <c r="T39" s="32"/>
      <c r="U39" s="33"/>
      <c r="V39" s="33"/>
      <c r="W39" s="33" t="s">
        <v>145</v>
      </c>
      <c r="X39" s="34" t="s">
        <v>146</v>
      </c>
      <c r="Y39" s="34"/>
      <c r="Z39" s="34"/>
      <c r="AA39" s="34"/>
      <c r="AB39" s="34"/>
      <c r="AC39" s="33"/>
      <c r="AD39" s="36"/>
    </row>
    <row r="40" spans="1:30" ht="12.5" customHeight="1">
      <c r="A40" s="32">
        <f>IF($C$3="","",$C$3+4)</f>
        <v>46283</v>
      </c>
      <c r="B40" s="33" t="s">
        <v>51</v>
      </c>
      <c r="C40" s="33" t="s">
        <v>52</v>
      </c>
      <c r="D40" s="34" t="s">
        <v>39</v>
      </c>
      <c r="E40" s="35">
        <v>26100385</v>
      </c>
      <c r="F40" s="35">
        <v>30</v>
      </c>
      <c r="G40" s="34" t="s">
        <v>40</v>
      </c>
      <c r="H40" s="33" t="s">
        <v>147</v>
      </c>
      <c r="I40" s="34" t="s">
        <v>42</v>
      </c>
      <c r="J40" s="34" t="s">
        <v>54</v>
      </c>
      <c r="K40" s="33" t="s">
        <v>131</v>
      </c>
      <c r="L40" s="36">
        <v>8</v>
      </c>
      <c r="M40" s="35">
        <v>6</v>
      </c>
      <c r="N40" s="35">
        <v>6</v>
      </c>
      <c r="O40" s="33"/>
      <c r="P40" s="33"/>
      <c r="Q40" s="16">
        <f>N40*L40</f>
        <v>48.0</v>
      </c>
      <c r="R40" s="32">
        <v>46283</v>
      </c>
      <c r="S40" s="32">
        <v>46285</v>
      </c>
      <c r="T40" s="32"/>
      <c r="U40" s="33"/>
      <c r="V40" s="33"/>
      <c r="W40" s="33" t="s">
        <v>148</v>
      </c>
      <c r="X40" s="34" t="s">
        <v>149</v>
      </c>
      <c r="Y40" s="34"/>
      <c r="Z40" s="34"/>
      <c r="AA40" s="34"/>
      <c r="AB40" s="34"/>
      <c r="AC40" s="33"/>
      <c r="AD40" s="36"/>
    </row>
    <row r="41" spans="1:30" ht="12.5" customHeight="1">
      <c r="A41" s="32">
        <f>IF($C$3="","",$C$3+4)</f>
        <v>46283</v>
      </c>
      <c r="B41" s="33" t="s">
        <v>150</v>
      </c>
      <c r="C41" s="33" t="s">
        <v>83</v>
      </c>
      <c r="D41" s="34" t="s">
        <v>39</v>
      </c>
      <c r="E41" s="35">
        <v>26100391</v>
      </c>
      <c r="F41" s="35">
        <v>10</v>
      </c>
      <c r="G41" s="34" t="s">
        <v>40</v>
      </c>
      <c r="H41" s="33" t="s">
        <v>151</v>
      </c>
      <c r="I41" s="34" t="s">
        <v>67</v>
      </c>
      <c r="J41" s="34" t="s">
        <v>85</v>
      </c>
      <c r="K41" s="33" t="s">
        <v>86</v>
      </c>
      <c r="L41" s="36">
        <v>8</v>
      </c>
      <c r="M41" s="35">
        <v>4</v>
      </c>
      <c r="N41" s="35"/>
      <c r="O41" s="33"/>
      <c r="P41" s="33"/>
      <c r="Q41" s="16">
        <f>N41*L41</f>
        <v>0.0</v>
      </c>
      <c r="R41" s="32">
        <v>46283</v>
      </c>
      <c r="S41" s="32">
        <v>46285</v>
      </c>
      <c r="T41" s="32"/>
      <c r="U41" s="33"/>
      <c r="V41" s="33"/>
      <c r="W41" s="33" t="s">
        <v>152</v>
      </c>
      <c r="X41" s="34" t="s">
        <v>88</v>
      </c>
      <c r="Y41" s="34"/>
      <c r="Z41" s="34"/>
      <c r="AA41" s="34"/>
      <c r="AB41" s="34"/>
      <c r="AC41" s="33"/>
      <c r="AD41" s="36"/>
    </row>
    <row r="42" spans="1:30" ht="12.5" customHeight="1">
      <c r="A42" s="32">
        <f>IF($C$3="","",$C$3+4)</f>
        <v>46283</v>
      </c>
      <c r="B42" s="33" t="s">
        <v>51</v>
      </c>
      <c r="C42" s="33" t="s">
        <v>106</v>
      </c>
      <c r="D42" s="34" t="s">
        <v>39</v>
      </c>
      <c r="E42" s="35">
        <v>26100397</v>
      </c>
      <c r="F42" s="35">
        <v>10</v>
      </c>
      <c r="G42" s="34" t="s">
        <v>40</v>
      </c>
      <c r="H42" s="33" t="s">
        <v>126</v>
      </c>
      <c r="I42" s="34" t="s">
        <v>67</v>
      </c>
      <c r="J42" s="34" t="s">
        <v>85</v>
      </c>
      <c r="K42" s="33" t="s">
        <v>127</v>
      </c>
      <c r="L42" s="36">
        <v>8</v>
      </c>
      <c r="M42" s="35">
        <v>3</v>
      </c>
      <c r="N42" s="35"/>
      <c r="O42" s="33"/>
      <c r="P42" s="33"/>
      <c r="Q42" s="16">
        <f>N42*L42</f>
        <v>0.0</v>
      </c>
      <c r="R42" s="32">
        <v>46283</v>
      </c>
      <c r="S42" s="32">
        <v>46285</v>
      </c>
      <c r="T42" s="32"/>
      <c r="U42" s="33"/>
      <c r="V42" s="33"/>
      <c r="W42" s="33" t="s">
        <v>128</v>
      </c>
      <c r="X42" s="34" t="s">
        <v>88</v>
      </c>
      <c r="Y42" s="34"/>
      <c r="Z42" s="34"/>
      <c r="AA42" s="34"/>
      <c r="AB42" s="34"/>
      <c r="AC42" s="33"/>
      <c r="AD42" s="36"/>
    </row>
    <row r="43" spans="1:30" ht="12.5" customHeight="1">
      <c r="A43" s="32">
        <f>IF($C$3="","",$C$3+4)</f>
        <v>46283</v>
      </c>
      <c r="B43" s="33" t="s">
        <v>129</v>
      </c>
      <c r="C43" s="33" t="s">
        <v>65</v>
      </c>
      <c r="D43" s="34" t="s">
        <v>39</v>
      </c>
      <c r="E43" s="35">
        <v>26100403</v>
      </c>
      <c r="F43" s="35">
        <v>10</v>
      </c>
      <c r="G43" s="34" t="s">
        <v>40</v>
      </c>
      <c r="H43" s="33" t="s">
        <v>130</v>
      </c>
      <c r="I43" s="34" t="s">
        <v>67</v>
      </c>
      <c r="J43" s="34" t="s">
        <v>68</v>
      </c>
      <c r="K43" s="33" t="s">
        <v>131</v>
      </c>
      <c r="L43" s="36">
        <v>8</v>
      </c>
      <c r="M43" s="35">
        <v>8</v>
      </c>
      <c r="N43" s="35"/>
      <c r="O43" s="33"/>
      <c r="P43" s="33"/>
      <c r="Q43" s="16">
        <f>N43*L43</f>
        <v>0.0</v>
      </c>
      <c r="R43" s="32">
        <v>46283</v>
      </c>
      <c r="S43" s="32">
        <v>46285</v>
      </c>
      <c r="T43" s="32"/>
      <c r="U43" s="33"/>
      <c r="V43" s="33"/>
      <c r="W43" s="33" t="s">
        <v>132</v>
      </c>
      <c r="X43" s="34" t="s">
        <v>71</v>
      </c>
      <c r="Y43" s="34"/>
      <c r="Z43" s="34"/>
      <c r="AA43" s="34"/>
      <c r="AB43" s="34"/>
      <c r="AC43" s="33"/>
      <c r="AD43" s="36"/>
    </row>
    <row r="44" spans="1:30" ht="12.5" customHeight="1">
      <c r="A44" s="32">
        <f>IF($C$3="","",$C$3+4)</f>
        <v>46283</v>
      </c>
      <c r="B44" s="33" t="s">
        <v>95</v>
      </c>
      <c r="C44" s="33" t="s">
        <v>96</v>
      </c>
      <c r="D44" s="34" t="s">
        <v>97</v>
      </c>
      <c r="E44" s="35">
        <v>26100418</v>
      </c>
      <c r="F44" s="35">
        <v>10</v>
      </c>
      <c r="G44" s="34" t="s">
        <v>40</v>
      </c>
      <c r="H44" s="33" t="s">
        <v>153</v>
      </c>
      <c r="I44" s="34" t="s">
        <v>67</v>
      </c>
      <c r="J44" s="34" t="s">
        <v>68</v>
      </c>
      <c r="K44" s="33" t="s">
        <v>154</v>
      </c>
      <c r="L44" s="36">
        <v>3</v>
      </c>
      <c r="M44" s="35">
        <v>6</v>
      </c>
      <c r="N44" s="35"/>
      <c r="O44" s="33"/>
      <c r="P44" s="33"/>
      <c r="Q44" s="16">
        <f>N44*L44</f>
        <v>0.0</v>
      </c>
      <c r="R44" s="32">
        <v>46283</v>
      </c>
      <c r="S44" s="32">
        <v>46285</v>
      </c>
      <c r="T44" s="32"/>
      <c r="U44" s="33"/>
      <c r="V44" s="33"/>
      <c r="W44" s="33" t="s">
        <v>155</v>
      </c>
      <c r="X44" s="34" t="s">
        <v>101</v>
      </c>
      <c r="Y44" s="34"/>
      <c r="Z44" s="34"/>
      <c r="AA44" s="34"/>
      <c r="AB44" s="34"/>
      <c r="AC44" s="33"/>
      <c r="AD44" s="36"/>
    </row>
    <row r="45" spans="1:30">
      <c r="A45" s="8" t="s">
        <v>156</v>
      </c>
      <c r="B45" s="9"/>
      <c r="C45" s="9"/>
      <c r="D45" s="9"/>
      <c r="E45" s="9" t="s">
        <v>35</v>
      </c>
      <c r="F45" s="9">
        <f>COUNT(F46:F47)</f>
        <v>2</v>
      </c>
      <c r="G45" s="9"/>
      <c r="H45" s="9"/>
      <c r="I45" s="9"/>
      <c r="J45" s="9"/>
      <c r="K45" s="9"/>
      <c r="L45" s="9"/>
      <c r="M45" s="8" t="s">
        <v>36</v>
      </c>
      <c r="N45" s="9"/>
      <c r="O45" s="9"/>
      <c r="P45" s="9"/>
      <c r="Q45" s="10">
        <f>SUM(Q46:Q47)</f>
        <v>0.0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2.5" customHeight="1">
      <c r="A46" s="37">
        <f>IF($C$3="","",$C$3+5)</f>
        <v>46284</v>
      </c>
      <c r="B46" s="38" t="s">
        <v>157</v>
      </c>
      <c r="C46" s="38" t="s">
        <v>38</v>
      </c>
      <c r="D46" s="39" t="s">
        <v>39</v>
      </c>
      <c r="E46" s="40">
        <v>26100382</v>
      </c>
      <c r="F46" s="40">
        <v>10</v>
      </c>
      <c r="G46" s="39" t="s">
        <v>40</v>
      </c>
      <c r="H46" s="38" t="s">
        <v>158</v>
      </c>
      <c r="I46" s="39" t="s">
        <v>42</v>
      </c>
      <c r="J46" s="39" t="s">
        <v>43</v>
      </c>
      <c r="K46" s="38" t="s">
        <v>49</v>
      </c>
      <c r="L46" s="41">
        <v>5</v>
      </c>
      <c r="M46" s="40">
        <v>6</v>
      </c>
      <c r="N46" s="40"/>
      <c r="O46" s="38"/>
      <c r="P46" s="38"/>
      <c r="Q46" s="16">
        <f>N46*L46</f>
        <v>0.0</v>
      </c>
      <c r="R46" s="37">
        <v>46284</v>
      </c>
      <c r="S46" s="37">
        <v>46286</v>
      </c>
      <c r="T46" s="37"/>
      <c r="U46" s="38"/>
      <c r="V46" s="38"/>
      <c r="W46" s="38" t="s">
        <v>159</v>
      </c>
      <c r="X46" s="39" t="s">
        <v>46</v>
      </c>
      <c r="Y46" s="39"/>
      <c r="Z46" s="39"/>
      <c r="AA46" s="39"/>
      <c r="AB46" s="39"/>
      <c r="AC46" s="38"/>
      <c r="AD46" s="41"/>
    </row>
    <row r="47" spans="1:30" ht="12.5" customHeight="1">
      <c r="A47" s="37">
        <f>IF($C$3="","",$C$3+5)</f>
        <v>46284</v>
      </c>
      <c r="B47" s="38" t="s">
        <v>95</v>
      </c>
      <c r="C47" s="38" t="s">
        <v>96</v>
      </c>
      <c r="D47" s="39" t="s">
        <v>97</v>
      </c>
      <c r="E47" s="40">
        <v>26100421</v>
      </c>
      <c r="F47" s="40">
        <v>10</v>
      </c>
      <c r="G47" s="39" t="s">
        <v>40</v>
      </c>
      <c r="H47" s="38" t="s">
        <v>160</v>
      </c>
      <c r="I47" s="39" t="s">
        <v>67</v>
      </c>
      <c r="J47" s="39" t="s">
        <v>68</v>
      </c>
      <c r="K47" s="38" t="s">
        <v>161</v>
      </c>
      <c r="L47" s="41">
        <v>4</v>
      </c>
      <c r="M47" s="40">
        <v>5</v>
      </c>
      <c r="N47" s="40"/>
      <c r="O47" s="38"/>
      <c r="P47" s="38"/>
      <c r="Q47" s="16">
        <f>N47*L47</f>
        <v>0.0</v>
      </c>
      <c r="R47" s="37">
        <v>46284</v>
      </c>
      <c r="S47" s="37">
        <v>46286</v>
      </c>
      <c r="T47" s="37"/>
      <c r="U47" s="38"/>
      <c r="V47" s="38"/>
      <c r="W47" s="38" t="s">
        <v>162</v>
      </c>
      <c r="X47" s="39" t="s">
        <v>101</v>
      </c>
      <c r="Y47" s="39"/>
      <c r="Z47" s="39"/>
      <c r="AA47" s="39"/>
      <c r="AB47" s="39"/>
      <c r="AC47" s="38"/>
      <c r="AD47" s="41"/>
    </row>
    <row r="48" spans="1:30">
      <c r="A48" s="8" t="s">
        <v>163</v>
      </c>
      <c r="B48" s="9"/>
      <c r="C48" s="9"/>
      <c r="D48" s="9"/>
      <c r="E48" s="9" t="s">
        <v>35</v>
      </c>
      <c r="F48" s="9">
        <v>0</v>
      </c>
      <c r="G48" s="9"/>
      <c r="H48" s="9"/>
      <c r="I48" s="9"/>
      <c r="J48" s="9"/>
      <c r="K48" s="9"/>
      <c r="L48" s="9"/>
      <c r="M48" s="8" t="s">
        <v>36</v>
      </c>
      <c r="N48" s="9"/>
      <c r="O48" s="9"/>
      <c r="P48" s="9"/>
      <c r="Q48" s="10">
        <v>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</sheetData>
  <autoFilter ref="A4:AD49"/>
  <mergeCells count="1">
    <mergeCell ref="B2:AB2"/>
  </mergeCells>
  <dataValidations count="7">
    <dataValidation type="custom" allowBlank="1" showInputMessage="1" showErrorMessage="1" errorTitle="Data inválida" error="Digite a data de uma SEGUNDA-FEIRA (ex.: 14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9">
      <formula1>BaseLine!$E$3:$E$5</formula1>
    </dataValidation>
    <dataValidation type="list" errorStyle="warning" allowBlank="1" showInputMessage="1" showErrorMessage="1" sqref="J6:J49">
      <formula1>BaseLine!$F$3:$F$8</formula1>
    </dataValidation>
    <dataValidation type="list" errorStyle="warning" allowBlank="1" showInputMessage="1" showErrorMessage="1" sqref="D6:D49">
      <formula1>BaseLine!$G$3:$G$7</formula1>
    </dataValidation>
    <dataValidation type="list" errorStyle="warning" allowBlank="1" showInputMessage="1" showErrorMessage="1" sqref="C6:C49">
      <formula1>BaseLine!$H$3:$H$15</formula1>
    </dataValidation>
    <dataValidation type="list" errorStyle="warning" allowBlank="1" showInputMessage="1" showErrorMessage="1" sqref="U6:U49">
      <formula1>BaseLine!$C$3:$C$11</formula1>
    </dataValidation>
    <dataValidation type="list" allowBlank="1" showInputMessage="1" showErrorMessage="1" sqref="G6:G49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A73"/>
  </sheetPr>
  <dimension ref="A1:AD4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38</v>
      </c>
      <c r="B3" s="3" t="s">
        <v>31</v>
      </c>
      <c r="C3" s="4">
        <v>46279</v>
      </c>
      <c r="D3" s="3" t="s">
        <v>32</v>
      </c>
      <c r="E3" s="5">
        <f>COUNT(E5:E42)</f>
        <v>31</v>
      </c>
      <c r="F3" s="3"/>
      <c r="G3" s="3"/>
      <c r="H3" s="3"/>
      <c r="I3" s="3"/>
      <c r="J3" s="3"/>
      <c r="K3" s="3"/>
      <c r="L3" s="3" t="s">
        <v>33</v>
      </c>
      <c r="M3" s="6">
        <f>SUMPRODUCT(L5:L42,M5:M42)</f>
        <v>1575.0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COUNT(F6:F9)</f>
        <v>4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SUM(Q6:Q9)</f>
        <v>174.0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46279</v>
      </c>
      <c r="B6" s="12" t="s">
        <v>165</v>
      </c>
      <c r="C6" s="12" t="s">
        <v>166</v>
      </c>
      <c r="D6" s="13" t="s">
        <v>39</v>
      </c>
      <c r="E6" s="14">
        <v>26200325</v>
      </c>
      <c r="F6" s="14">
        <v>10</v>
      </c>
      <c r="G6" s="13" t="s">
        <v>112</v>
      </c>
      <c r="H6" s="12" t="s">
        <v>167</v>
      </c>
      <c r="I6" s="13" t="s">
        <v>168</v>
      </c>
      <c r="J6" s="13" t="s">
        <v>169</v>
      </c>
      <c r="K6" s="12" t="s">
        <v>170</v>
      </c>
      <c r="L6" s="15">
        <v>9</v>
      </c>
      <c r="M6" s="14">
        <v>6</v>
      </c>
      <c r="N6" s="14">
        <v>6</v>
      </c>
      <c r="O6" s="12"/>
      <c r="P6" s="12"/>
      <c r="Q6" s="16">
        <f>N6*L6</f>
        <v>54.0</v>
      </c>
      <c r="R6" s="11">
        <v>46279</v>
      </c>
      <c r="S6" s="11">
        <v>46281</v>
      </c>
      <c r="T6" s="11"/>
      <c r="U6" s="12"/>
      <c r="V6" s="12"/>
      <c r="W6" s="12" t="s">
        <v>171</v>
      </c>
      <c r="X6" s="13" t="s">
        <v>172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46279</v>
      </c>
      <c r="B7" s="12" t="s">
        <v>173</v>
      </c>
      <c r="C7" s="12" t="s">
        <v>174</v>
      </c>
      <c r="D7" s="13" t="s">
        <v>39</v>
      </c>
      <c r="E7" s="14">
        <v>26200331</v>
      </c>
      <c r="F7" s="14">
        <v>10</v>
      </c>
      <c r="G7" s="13" t="s">
        <v>40</v>
      </c>
      <c r="H7" s="12" t="s">
        <v>175</v>
      </c>
      <c r="I7" s="13" t="s">
        <v>168</v>
      </c>
      <c r="J7" s="13" t="s">
        <v>176</v>
      </c>
      <c r="K7" s="12" t="s">
        <v>177</v>
      </c>
      <c r="L7" s="15">
        <v>8</v>
      </c>
      <c r="M7" s="14">
        <v>7</v>
      </c>
      <c r="N7" s="14">
        <v>7</v>
      </c>
      <c r="O7" s="12"/>
      <c r="P7" s="12"/>
      <c r="Q7" s="16">
        <f>N7*L7</f>
        <v>56.0</v>
      </c>
      <c r="R7" s="11">
        <v>46279</v>
      </c>
      <c r="S7" s="11">
        <v>46281</v>
      </c>
      <c r="T7" s="11"/>
      <c r="U7" s="12"/>
      <c r="V7" s="12"/>
      <c r="W7" s="12" t="s">
        <v>178</v>
      </c>
      <c r="X7" s="13" t="s">
        <v>179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46279</v>
      </c>
      <c r="B8" s="12" t="s">
        <v>180</v>
      </c>
      <c r="C8" s="12" t="s">
        <v>181</v>
      </c>
      <c r="D8" s="13" t="s">
        <v>39</v>
      </c>
      <c r="E8" s="14">
        <v>26200340</v>
      </c>
      <c r="F8" s="14">
        <v>10</v>
      </c>
      <c r="G8" s="13" t="s">
        <v>40</v>
      </c>
      <c r="H8" s="12" t="s">
        <v>182</v>
      </c>
      <c r="I8" s="13" t="s">
        <v>168</v>
      </c>
      <c r="J8" s="13" t="s">
        <v>169</v>
      </c>
      <c r="K8" s="12" t="s">
        <v>183</v>
      </c>
      <c r="L8" s="15">
        <v>8</v>
      </c>
      <c r="M8" s="14">
        <v>7</v>
      </c>
      <c r="N8" s="14">
        <v>6</v>
      </c>
      <c r="O8" s="12"/>
      <c r="P8" s="12"/>
      <c r="Q8" s="16">
        <f>N8*L8</f>
        <v>48.0</v>
      </c>
      <c r="R8" s="11">
        <v>46279</v>
      </c>
      <c r="S8" s="11">
        <v>46281</v>
      </c>
      <c r="T8" s="11"/>
      <c r="U8" s="12"/>
      <c r="V8" s="12"/>
      <c r="W8" s="12" t="s">
        <v>184</v>
      </c>
      <c r="X8" s="13" t="s">
        <v>185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46279</v>
      </c>
      <c r="B9" s="12" t="s">
        <v>165</v>
      </c>
      <c r="C9" s="12" t="s">
        <v>58</v>
      </c>
      <c r="D9" s="13" t="s">
        <v>59</v>
      </c>
      <c r="E9" s="14">
        <v>26200349</v>
      </c>
      <c r="F9" s="14">
        <v>10</v>
      </c>
      <c r="G9" s="13" t="s">
        <v>40</v>
      </c>
      <c r="H9" s="12" t="s">
        <v>186</v>
      </c>
      <c r="I9" s="13" t="s">
        <v>168</v>
      </c>
      <c r="J9" s="13" t="s">
        <v>176</v>
      </c>
      <c r="K9" s="12" t="s">
        <v>61</v>
      </c>
      <c r="L9" s="15">
        <v>1</v>
      </c>
      <c r="M9" s="14">
        <v>16</v>
      </c>
      <c r="N9" s="14">
        <v>16</v>
      </c>
      <c r="O9" s="12"/>
      <c r="P9" s="12"/>
      <c r="Q9" s="16">
        <f>N9*L9</f>
        <v>16.0</v>
      </c>
      <c r="R9" s="11">
        <v>46279</v>
      </c>
      <c r="S9" s="11">
        <v>46281</v>
      </c>
      <c r="T9" s="11"/>
      <c r="U9" s="12"/>
      <c r="V9" s="12"/>
      <c r="W9" s="12" t="s">
        <v>187</v>
      </c>
      <c r="X9" s="13" t="s">
        <v>63</v>
      </c>
      <c r="Y9" s="13"/>
      <c r="Z9" s="13"/>
      <c r="AA9" s="13"/>
      <c r="AB9" s="13"/>
      <c r="AC9" s="12"/>
      <c r="AD9" s="15"/>
    </row>
    <row r="10" spans="1:30">
      <c r="A10" s="8" t="s">
        <v>72</v>
      </c>
      <c r="B10" s="9"/>
      <c r="C10" s="9"/>
      <c r="D10" s="9"/>
      <c r="E10" s="9" t="s">
        <v>35</v>
      </c>
      <c r="F10" s="9">
        <f>COUNT(F11:F16)</f>
        <v>6</v>
      </c>
      <c r="G10" s="9"/>
      <c r="H10" s="9"/>
      <c r="I10" s="9"/>
      <c r="J10" s="9"/>
      <c r="K10" s="9"/>
      <c r="L10" s="9"/>
      <c r="M10" s="8" t="s">
        <v>36</v>
      </c>
      <c r="N10" s="9"/>
      <c r="O10" s="9"/>
      <c r="P10" s="9"/>
      <c r="Q10" s="10">
        <f>SUM(Q11:Q16)</f>
        <v>292.0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5" customHeight="1">
      <c r="A11" s="17">
        <f>IF($C$3="","",$C$3+1)</f>
        <v>46280</v>
      </c>
      <c r="B11" s="18" t="s">
        <v>165</v>
      </c>
      <c r="C11" s="18" t="s">
        <v>166</v>
      </c>
      <c r="D11" s="19" t="s">
        <v>39</v>
      </c>
      <c r="E11" s="20">
        <v>26200325</v>
      </c>
      <c r="F11" s="20">
        <v>10</v>
      </c>
      <c r="G11" s="19" t="s">
        <v>112</v>
      </c>
      <c r="H11" s="18" t="s">
        <v>167</v>
      </c>
      <c r="I11" s="19" t="s">
        <v>168</v>
      </c>
      <c r="J11" s="19" t="s">
        <v>169</v>
      </c>
      <c r="K11" s="18" t="s">
        <v>170</v>
      </c>
      <c r="L11" s="21">
        <v>9</v>
      </c>
      <c r="M11" s="20">
        <v>6</v>
      </c>
      <c r="N11" s="20">
        <v>4</v>
      </c>
      <c r="O11" s="18"/>
      <c r="P11" s="18"/>
      <c r="Q11" s="16">
        <f>N11*L11</f>
        <v>36.0</v>
      </c>
      <c r="R11" s="17">
        <v>46280</v>
      </c>
      <c r="S11" s="17">
        <v>46282</v>
      </c>
      <c r="T11" s="17"/>
      <c r="U11" s="18"/>
      <c r="V11" s="18"/>
      <c r="W11" s="18" t="s">
        <v>171</v>
      </c>
      <c r="X11" s="19" t="s">
        <v>172</v>
      </c>
      <c r="Y11" s="19"/>
      <c r="Z11" s="19"/>
      <c r="AA11" s="19"/>
      <c r="AB11" s="19"/>
      <c r="AC11" s="18"/>
      <c r="AD11" s="21"/>
    </row>
    <row r="12" spans="1:30" ht="12.5" customHeight="1">
      <c r="A12" s="17">
        <f>IF($C$3="","",$C$3+1)</f>
        <v>46280</v>
      </c>
      <c r="B12" s="18" t="s">
        <v>173</v>
      </c>
      <c r="C12" s="18" t="s">
        <v>174</v>
      </c>
      <c r="D12" s="19" t="s">
        <v>39</v>
      </c>
      <c r="E12" s="20">
        <v>26200331</v>
      </c>
      <c r="F12" s="20">
        <v>10</v>
      </c>
      <c r="G12" s="19" t="s">
        <v>40</v>
      </c>
      <c r="H12" s="18" t="s">
        <v>175</v>
      </c>
      <c r="I12" s="19" t="s">
        <v>168</v>
      </c>
      <c r="J12" s="19" t="s">
        <v>176</v>
      </c>
      <c r="K12" s="18" t="s">
        <v>177</v>
      </c>
      <c r="L12" s="21">
        <v>8</v>
      </c>
      <c r="M12" s="20">
        <v>7</v>
      </c>
      <c r="N12" s="20">
        <v>7</v>
      </c>
      <c r="O12" s="18"/>
      <c r="P12" s="18"/>
      <c r="Q12" s="16">
        <f>N12*L12</f>
        <v>56.0</v>
      </c>
      <c r="R12" s="17">
        <v>46280</v>
      </c>
      <c r="S12" s="17">
        <v>46282</v>
      </c>
      <c r="T12" s="17"/>
      <c r="U12" s="18"/>
      <c r="V12" s="18"/>
      <c r="W12" s="18" t="s">
        <v>178</v>
      </c>
      <c r="X12" s="19" t="s">
        <v>179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46280</v>
      </c>
      <c r="B13" s="18" t="s">
        <v>188</v>
      </c>
      <c r="C13" s="18" t="s">
        <v>189</v>
      </c>
      <c r="D13" s="19" t="s">
        <v>39</v>
      </c>
      <c r="E13" s="20">
        <v>26200334</v>
      </c>
      <c r="F13" s="20">
        <v>10</v>
      </c>
      <c r="G13" s="19" t="s">
        <v>112</v>
      </c>
      <c r="H13" s="18" t="s">
        <v>190</v>
      </c>
      <c r="I13" s="19" t="s">
        <v>168</v>
      </c>
      <c r="J13" s="19" t="s">
        <v>176</v>
      </c>
      <c r="K13" s="18" t="s">
        <v>191</v>
      </c>
      <c r="L13" s="21">
        <v>9</v>
      </c>
      <c r="M13" s="20">
        <v>9</v>
      </c>
      <c r="N13" s="20">
        <v>7</v>
      </c>
      <c r="O13" s="18" t="s">
        <v>79</v>
      </c>
      <c r="P13" s="18"/>
      <c r="Q13" s="16">
        <f>N13*L13</f>
        <v>63.0</v>
      </c>
      <c r="R13" s="17">
        <v>46280</v>
      </c>
      <c r="S13" s="17">
        <v>46282</v>
      </c>
      <c r="T13" s="17"/>
      <c r="U13" s="18" t="s">
        <v>80</v>
      </c>
      <c r="V13" s="18"/>
      <c r="W13" s="18" t="s">
        <v>192</v>
      </c>
      <c r="X13" s="19" t="s">
        <v>193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46280</v>
      </c>
      <c r="B14" s="18" t="s">
        <v>180</v>
      </c>
      <c r="C14" s="18" t="s">
        <v>181</v>
      </c>
      <c r="D14" s="19" t="s">
        <v>39</v>
      </c>
      <c r="E14" s="20">
        <v>26200340</v>
      </c>
      <c r="F14" s="20">
        <v>10</v>
      </c>
      <c r="G14" s="19" t="s">
        <v>40</v>
      </c>
      <c r="H14" s="18" t="s">
        <v>182</v>
      </c>
      <c r="I14" s="19" t="s">
        <v>168</v>
      </c>
      <c r="J14" s="19" t="s">
        <v>169</v>
      </c>
      <c r="K14" s="18" t="s">
        <v>183</v>
      </c>
      <c r="L14" s="21">
        <v>8</v>
      </c>
      <c r="M14" s="20">
        <v>7</v>
      </c>
      <c r="N14" s="20">
        <v>7</v>
      </c>
      <c r="O14" s="18"/>
      <c r="P14" s="18"/>
      <c r="Q14" s="16">
        <f>N14*L14</f>
        <v>56.0</v>
      </c>
      <c r="R14" s="17">
        <v>46280</v>
      </c>
      <c r="S14" s="17">
        <v>46282</v>
      </c>
      <c r="T14" s="17"/>
      <c r="U14" s="18"/>
      <c r="V14" s="18"/>
      <c r="W14" s="18" t="s">
        <v>184</v>
      </c>
      <c r="X14" s="19" t="s">
        <v>185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46280</v>
      </c>
      <c r="B15" s="18" t="s">
        <v>194</v>
      </c>
      <c r="C15" s="18" t="s">
        <v>195</v>
      </c>
      <c r="D15" s="19" t="s">
        <v>39</v>
      </c>
      <c r="E15" s="20">
        <v>26200346</v>
      </c>
      <c r="F15" s="20">
        <v>10</v>
      </c>
      <c r="G15" s="19" t="s">
        <v>112</v>
      </c>
      <c r="H15" s="18" t="s">
        <v>196</v>
      </c>
      <c r="I15" s="19" t="s">
        <v>168</v>
      </c>
      <c r="J15" s="19" t="s">
        <v>169</v>
      </c>
      <c r="K15" s="18" t="s">
        <v>197</v>
      </c>
      <c r="L15" s="21">
        <v>9</v>
      </c>
      <c r="M15" s="20">
        <v>8</v>
      </c>
      <c r="N15" s="20">
        <v>8</v>
      </c>
      <c r="O15" s="18"/>
      <c r="P15" s="18"/>
      <c r="Q15" s="16">
        <f>N15*L15</f>
        <v>72.0</v>
      </c>
      <c r="R15" s="17">
        <v>46280</v>
      </c>
      <c r="S15" s="17">
        <v>46282</v>
      </c>
      <c r="T15" s="17"/>
      <c r="U15" s="18"/>
      <c r="V15" s="18"/>
      <c r="W15" s="18" t="s">
        <v>198</v>
      </c>
      <c r="X15" s="19" t="s">
        <v>199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46280</v>
      </c>
      <c r="B16" s="18" t="s">
        <v>95</v>
      </c>
      <c r="C16" s="18" t="s">
        <v>96</v>
      </c>
      <c r="D16" s="19" t="s">
        <v>97</v>
      </c>
      <c r="E16" s="20">
        <v>26200355</v>
      </c>
      <c r="F16" s="20">
        <v>10</v>
      </c>
      <c r="G16" s="19" t="s">
        <v>40</v>
      </c>
      <c r="H16" s="18" t="s">
        <v>200</v>
      </c>
      <c r="I16" s="19" t="s">
        <v>168</v>
      </c>
      <c r="J16" s="19" t="s">
        <v>169</v>
      </c>
      <c r="K16" s="18" t="s">
        <v>201</v>
      </c>
      <c r="L16" s="21">
        <v>3</v>
      </c>
      <c r="M16" s="20">
        <v>3</v>
      </c>
      <c r="N16" s="20">
        <v>3</v>
      </c>
      <c r="O16" s="18"/>
      <c r="P16" s="18"/>
      <c r="Q16" s="16">
        <f>N16*L16</f>
        <v>9.0</v>
      </c>
      <c r="R16" s="17">
        <v>46280</v>
      </c>
      <c r="S16" s="17">
        <v>46282</v>
      </c>
      <c r="T16" s="17"/>
      <c r="U16" s="18"/>
      <c r="V16" s="18"/>
      <c r="W16" s="18" t="s">
        <v>202</v>
      </c>
      <c r="X16" s="19" t="s">
        <v>101</v>
      </c>
      <c r="Y16" s="19"/>
      <c r="Z16" s="19"/>
      <c r="AA16" s="19"/>
      <c r="AB16" s="19"/>
      <c r="AC16" s="18"/>
      <c r="AD16" s="21"/>
    </row>
    <row r="17" spans="1:30">
      <c r="A17" s="8" t="s">
        <v>102</v>
      </c>
      <c r="B17" s="9"/>
      <c r="C17" s="9"/>
      <c r="D17" s="9"/>
      <c r="E17" s="9" t="s">
        <v>35</v>
      </c>
      <c r="F17" s="9">
        <f>COUNT(F18:F23)</f>
        <v>6</v>
      </c>
      <c r="G17" s="9"/>
      <c r="H17" s="9"/>
      <c r="I17" s="9"/>
      <c r="J17" s="9"/>
      <c r="K17" s="9"/>
      <c r="L17" s="9"/>
      <c r="M17" s="8" t="s">
        <v>36</v>
      </c>
      <c r="N17" s="9"/>
      <c r="O17" s="9"/>
      <c r="P17" s="9"/>
      <c r="Q17" s="10">
        <f>SUM(Q18:Q23)</f>
        <v>346.0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2.5" customHeight="1">
      <c r="A18" s="22">
        <f>IF($C$3="","",$C$3+2)</f>
        <v>46281</v>
      </c>
      <c r="B18" s="23" t="s">
        <v>165</v>
      </c>
      <c r="C18" s="23" t="s">
        <v>166</v>
      </c>
      <c r="D18" s="24" t="s">
        <v>39</v>
      </c>
      <c r="E18" s="25">
        <v>26200325</v>
      </c>
      <c r="F18" s="25">
        <v>10</v>
      </c>
      <c r="G18" s="24" t="s">
        <v>112</v>
      </c>
      <c r="H18" s="23" t="s">
        <v>167</v>
      </c>
      <c r="I18" s="24" t="s">
        <v>168</v>
      </c>
      <c r="J18" s="24" t="s">
        <v>169</v>
      </c>
      <c r="K18" s="23" t="s">
        <v>170</v>
      </c>
      <c r="L18" s="26">
        <v>9</v>
      </c>
      <c r="M18" s="25">
        <v>6</v>
      </c>
      <c r="N18" s="25">
        <v>5</v>
      </c>
      <c r="O18" s="23"/>
      <c r="P18" s="23"/>
      <c r="Q18" s="16">
        <f>N18*L18</f>
        <v>45.0</v>
      </c>
      <c r="R18" s="22">
        <v>46281</v>
      </c>
      <c r="S18" s="22">
        <v>46283</v>
      </c>
      <c r="T18" s="22"/>
      <c r="U18" s="23"/>
      <c r="V18" s="23"/>
      <c r="W18" s="23" t="s">
        <v>171</v>
      </c>
      <c r="X18" s="24" t="s">
        <v>172</v>
      </c>
      <c r="Y18" s="24"/>
      <c r="Z18" s="24"/>
      <c r="AA18" s="24"/>
      <c r="AB18" s="24"/>
      <c r="AC18" s="23" t="s">
        <v>203</v>
      </c>
      <c r="AD18" s="26">
        <v>1</v>
      </c>
    </row>
    <row r="19" spans="1:30" ht="12.5" customHeight="1">
      <c r="A19" s="22">
        <f>IF($C$3="","",$C$3+2)</f>
        <v>46281</v>
      </c>
      <c r="B19" s="23" t="s">
        <v>173</v>
      </c>
      <c r="C19" s="23" t="s">
        <v>174</v>
      </c>
      <c r="D19" s="24" t="s">
        <v>39</v>
      </c>
      <c r="E19" s="25">
        <v>26200331</v>
      </c>
      <c r="F19" s="25">
        <v>10</v>
      </c>
      <c r="G19" s="24" t="s">
        <v>40</v>
      </c>
      <c r="H19" s="23" t="s">
        <v>175</v>
      </c>
      <c r="I19" s="24" t="s">
        <v>168</v>
      </c>
      <c r="J19" s="24" t="s">
        <v>176</v>
      </c>
      <c r="K19" s="23" t="s">
        <v>177</v>
      </c>
      <c r="L19" s="26">
        <v>8</v>
      </c>
      <c r="M19" s="25">
        <v>7</v>
      </c>
      <c r="N19" s="25">
        <v>7</v>
      </c>
      <c r="O19" s="23"/>
      <c r="P19" s="23"/>
      <c r="Q19" s="16">
        <f>N19*L19</f>
        <v>56.0</v>
      </c>
      <c r="R19" s="22">
        <v>46281</v>
      </c>
      <c r="S19" s="22">
        <v>46283</v>
      </c>
      <c r="T19" s="22"/>
      <c r="U19" s="23"/>
      <c r="V19" s="23"/>
      <c r="W19" s="23" t="s">
        <v>178</v>
      </c>
      <c r="X19" s="24" t="s">
        <v>179</v>
      </c>
      <c r="Y19" s="24"/>
      <c r="Z19" s="24"/>
      <c r="AA19" s="24"/>
      <c r="AB19" s="24"/>
      <c r="AC19" s="23"/>
      <c r="AD19" s="26"/>
    </row>
    <row r="20" spans="1:30" ht="12.5" customHeight="1">
      <c r="A20" s="22">
        <f>IF($C$3="","",$C$3+2)</f>
        <v>46281</v>
      </c>
      <c r="B20" s="23" t="s">
        <v>188</v>
      </c>
      <c r="C20" s="23" t="s">
        <v>189</v>
      </c>
      <c r="D20" s="24" t="s">
        <v>39</v>
      </c>
      <c r="E20" s="25">
        <v>26200334</v>
      </c>
      <c r="F20" s="25">
        <v>10</v>
      </c>
      <c r="G20" s="24" t="s">
        <v>112</v>
      </c>
      <c r="H20" s="23" t="s">
        <v>190</v>
      </c>
      <c r="I20" s="24" t="s">
        <v>168</v>
      </c>
      <c r="J20" s="24" t="s">
        <v>176</v>
      </c>
      <c r="K20" s="23" t="s">
        <v>191</v>
      </c>
      <c r="L20" s="26">
        <v>9</v>
      </c>
      <c r="M20" s="25">
        <v>9</v>
      </c>
      <c r="N20" s="25">
        <v>7</v>
      </c>
      <c r="O20" s="23" t="s">
        <v>79</v>
      </c>
      <c r="P20" s="23"/>
      <c r="Q20" s="16">
        <f>N20*L20</f>
        <v>63.0</v>
      </c>
      <c r="R20" s="22">
        <v>46281</v>
      </c>
      <c r="S20" s="22">
        <v>46283</v>
      </c>
      <c r="T20" s="22"/>
      <c r="U20" s="23" t="s">
        <v>80</v>
      </c>
      <c r="V20" s="23"/>
      <c r="W20" s="23" t="s">
        <v>192</v>
      </c>
      <c r="X20" s="24" t="s">
        <v>193</v>
      </c>
      <c r="Y20" s="24"/>
      <c r="Z20" s="24"/>
      <c r="AA20" s="24"/>
      <c r="AB20" s="24"/>
      <c r="AC20" s="23" t="s">
        <v>203</v>
      </c>
      <c r="AD20" s="26">
        <v>2</v>
      </c>
    </row>
    <row r="21" spans="1:30" ht="12.5" customHeight="1">
      <c r="A21" s="22">
        <f>IF($C$3="","",$C$3+2)</f>
        <v>46281</v>
      </c>
      <c r="B21" s="23" t="s">
        <v>180</v>
      </c>
      <c r="C21" s="23" t="s">
        <v>181</v>
      </c>
      <c r="D21" s="24" t="s">
        <v>39</v>
      </c>
      <c r="E21" s="25">
        <v>26200340</v>
      </c>
      <c r="F21" s="25">
        <v>10</v>
      </c>
      <c r="G21" s="24" t="s">
        <v>40</v>
      </c>
      <c r="H21" s="23" t="s">
        <v>182</v>
      </c>
      <c r="I21" s="24" t="s">
        <v>168</v>
      </c>
      <c r="J21" s="24" t="s">
        <v>169</v>
      </c>
      <c r="K21" s="23" t="s">
        <v>183</v>
      </c>
      <c r="L21" s="26">
        <v>8</v>
      </c>
      <c r="M21" s="25">
        <v>7</v>
      </c>
      <c r="N21" s="25">
        <v>7</v>
      </c>
      <c r="O21" s="23"/>
      <c r="P21" s="23"/>
      <c r="Q21" s="16">
        <f>N21*L21</f>
        <v>56.0</v>
      </c>
      <c r="R21" s="22">
        <v>46281</v>
      </c>
      <c r="S21" s="22">
        <v>46283</v>
      </c>
      <c r="T21" s="22"/>
      <c r="U21" s="23"/>
      <c r="V21" s="23"/>
      <c r="W21" s="23" t="s">
        <v>184</v>
      </c>
      <c r="X21" s="24" t="s">
        <v>185</v>
      </c>
      <c r="Y21" s="24"/>
      <c r="Z21" s="24"/>
      <c r="AA21" s="24"/>
      <c r="AB21" s="24"/>
      <c r="AC21" s="23"/>
      <c r="AD21" s="26"/>
    </row>
    <row r="22" spans="1:30" ht="12.5" customHeight="1">
      <c r="A22" s="22">
        <f>IF($C$3="","",$C$3+2)</f>
        <v>46281</v>
      </c>
      <c r="B22" s="23" t="s">
        <v>194</v>
      </c>
      <c r="C22" s="23" t="s">
        <v>195</v>
      </c>
      <c r="D22" s="24" t="s">
        <v>39</v>
      </c>
      <c r="E22" s="25">
        <v>26200346</v>
      </c>
      <c r="F22" s="25">
        <v>10</v>
      </c>
      <c r="G22" s="24" t="s">
        <v>112</v>
      </c>
      <c r="H22" s="23" t="s">
        <v>196</v>
      </c>
      <c r="I22" s="24" t="s">
        <v>168</v>
      </c>
      <c r="J22" s="24" t="s">
        <v>169</v>
      </c>
      <c r="K22" s="23" t="s">
        <v>197</v>
      </c>
      <c r="L22" s="26">
        <v>9</v>
      </c>
      <c r="M22" s="25">
        <v>8</v>
      </c>
      <c r="N22" s="25">
        <v>10</v>
      </c>
      <c r="O22" s="23"/>
      <c r="P22" s="23"/>
      <c r="Q22" s="16">
        <f>N22*L22</f>
        <v>90.0</v>
      </c>
      <c r="R22" s="22">
        <v>46281</v>
      </c>
      <c r="S22" s="22">
        <v>46283</v>
      </c>
      <c r="T22" s="22"/>
      <c r="U22" s="23"/>
      <c r="V22" s="23"/>
      <c r="W22" s="23" t="s">
        <v>198</v>
      </c>
      <c r="X22" s="24" t="s">
        <v>199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46281</v>
      </c>
      <c r="B23" s="23" t="s">
        <v>165</v>
      </c>
      <c r="C23" s="23" t="s">
        <v>204</v>
      </c>
      <c r="D23" s="24" t="s">
        <v>120</v>
      </c>
      <c r="E23" s="25">
        <v>26200361</v>
      </c>
      <c r="F23" s="25">
        <v>10</v>
      </c>
      <c r="G23" s="24" t="s">
        <v>40</v>
      </c>
      <c r="H23" s="23" t="s">
        <v>205</v>
      </c>
      <c r="I23" s="24" t="s">
        <v>168</v>
      </c>
      <c r="J23" s="24" t="s">
        <v>176</v>
      </c>
      <c r="K23" s="23" t="s">
        <v>206</v>
      </c>
      <c r="L23" s="26">
        <v>6</v>
      </c>
      <c r="M23" s="25">
        <v>3</v>
      </c>
      <c r="N23" s="25">
        <v>6</v>
      </c>
      <c r="O23" s="23" t="s">
        <v>109</v>
      </c>
      <c r="P23" s="23"/>
      <c r="Q23" s="16">
        <f>N23*L23</f>
        <v>36.0</v>
      </c>
      <c r="R23" s="22">
        <v>46281</v>
      </c>
      <c r="S23" s="22">
        <v>46283</v>
      </c>
      <c r="T23" s="22"/>
      <c r="U23" s="23"/>
      <c r="V23" s="23"/>
      <c r="W23" s="23" t="s">
        <v>207</v>
      </c>
      <c r="X23" s="24" t="s">
        <v>208</v>
      </c>
      <c r="Y23" s="24"/>
      <c r="Z23" s="24"/>
      <c r="AA23" s="24"/>
      <c r="AB23" s="24"/>
      <c r="AC23" s="23"/>
      <c r="AD23" s="26"/>
    </row>
    <row r="24" spans="1:30">
      <c r="A24" s="8" t="s">
        <v>111</v>
      </c>
      <c r="B24" s="9"/>
      <c r="C24" s="9"/>
      <c r="D24" s="9"/>
      <c r="E24" s="9" t="s">
        <v>35</v>
      </c>
      <c r="F24" s="9">
        <f>COUNT(F25:F32)</f>
        <v>8</v>
      </c>
      <c r="G24" s="9"/>
      <c r="H24" s="9"/>
      <c r="I24" s="9"/>
      <c r="J24" s="9"/>
      <c r="K24" s="9"/>
      <c r="L24" s="9"/>
      <c r="M24" s="8" t="s">
        <v>36</v>
      </c>
      <c r="N24" s="9"/>
      <c r="O24" s="9"/>
      <c r="P24" s="9"/>
      <c r="Q24" s="10">
        <f>SUM(Q25:Q32)</f>
        <v>384.0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2.5" customHeight="1">
      <c r="A25" s="27">
        <f>IF($C$3="","",$C$3+3)</f>
        <v>46282</v>
      </c>
      <c r="B25" s="28" t="s">
        <v>165</v>
      </c>
      <c r="C25" s="28" t="s">
        <v>166</v>
      </c>
      <c r="D25" s="29" t="s">
        <v>39</v>
      </c>
      <c r="E25" s="30">
        <v>26200325</v>
      </c>
      <c r="F25" s="30">
        <v>10</v>
      </c>
      <c r="G25" s="29" t="s">
        <v>112</v>
      </c>
      <c r="H25" s="28" t="s">
        <v>167</v>
      </c>
      <c r="I25" s="29" t="s">
        <v>168</v>
      </c>
      <c r="J25" s="29" t="s">
        <v>169</v>
      </c>
      <c r="K25" s="28" t="s">
        <v>170</v>
      </c>
      <c r="L25" s="31">
        <v>9</v>
      </c>
      <c r="M25" s="30">
        <v>6</v>
      </c>
      <c r="N25" s="30">
        <v>5</v>
      </c>
      <c r="O25" s="28"/>
      <c r="P25" s="28"/>
      <c r="Q25" s="16">
        <f>N25*L25</f>
        <v>45.0</v>
      </c>
      <c r="R25" s="27">
        <v>46282</v>
      </c>
      <c r="S25" s="27">
        <v>46284</v>
      </c>
      <c r="T25" s="27"/>
      <c r="U25" s="28"/>
      <c r="V25" s="28"/>
      <c r="W25" s="28" t="s">
        <v>171</v>
      </c>
      <c r="X25" s="29" t="s">
        <v>172</v>
      </c>
      <c r="Y25" s="29"/>
      <c r="Z25" s="29"/>
      <c r="AA25" s="29"/>
      <c r="AB25" s="29"/>
      <c r="AC25" s="28"/>
      <c r="AD25" s="31"/>
    </row>
    <row r="26" spans="1:30" ht="12.5" customHeight="1">
      <c r="A26" s="27">
        <f>IF($C$3="","",$C$3+3)</f>
        <v>46282</v>
      </c>
      <c r="B26" s="28" t="s">
        <v>173</v>
      </c>
      <c r="C26" s="28" t="s">
        <v>174</v>
      </c>
      <c r="D26" s="29" t="s">
        <v>39</v>
      </c>
      <c r="E26" s="30">
        <v>26200331</v>
      </c>
      <c r="F26" s="30">
        <v>20</v>
      </c>
      <c r="G26" s="29" t="s">
        <v>112</v>
      </c>
      <c r="H26" s="28" t="s">
        <v>209</v>
      </c>
      <c r="I26" s="29" t="s">
        <v>168</v>
      </c>
      <c r="J26" s="29" t="s">
        <v>176</v>
      </c>
      <c r="K26" s="28" t="s">
        <v>92</v>
      </c>
      <c r="L26" s="31">
        <v>9</v>
      </c>
      <c r="M26" s="30">
        <v>10</v>
      </c>
      <c r="N26" s="30">
        <v>10</v>
      </c>
      <c r="O26" s="28"/>
      <c r="P26" s="28" t="s">
        <v>116</v>
      </c>
      <c r="Q26" s="16">
        <f>N26*L26</f>
        <v>90.0</v>
      </c>
      <c r="R26" s="27">
        <v>46282</v>
      </c>
      <c r="S26" s="27">
        <v>46284</v>
      </c>
      <c r="T26" s="27"/>
      <c r="U26" s="28"/>
      <c r="V26" s="28"/>
      <c r="W26" s="28" t="s">
        <v>210</v>
      </c>
      <c r="X26" s="29" t="s">
        <v>211</v>
      </c>
      <c r="Y26" s="29"/>
      <c r="Z26" s="29"/>
      <c r="AA26" s="29"/>
      <c r="AB26" s="29"/>
      <c r="AC26" s="28"/>
      <c r="AD26" s="31"/>
    </row>
    <row r="27" spans="1:30" ht="12.5" customHeight="1">
      <c r="A27" s="27">
        <f>IF($C$3="","",$C$3+3)</f>
        <v>46282</v>
      </c>
      <c r="B27" s="28" t="s">
        <v>188</v>
      </c>
      <c r="C27" s="28" t="s">
        <v>189</v>
      </c>
      <c r="D27" s="29" t="s">
        <v>39</v>
      </c>
      <c r="E27" s="30">
        <v>26200334</v>
      </c>
      <c r="F27" s="30">
        <v>10</v>
      </c>
      <c r="G27" s="29" t="s">
        <v>112</v>
      </c>
      <c r="H27" s="28" t="s">
        <v>190</v>
      </c>
      <c r="I27" s="29" t="s">
        <v>168</v>
      </c>
      <c r="J27" s="29" t="s">
        <v>176</v>
      </c>
      <c r="K27" s="28" t="s">
        <v>191</v>
      </c>
      <c r="L27" s="31">
        <v>9</v>
      </c>
      <c r="M27" s="30">
        <v>9</v>
      </c>
      <c r="N27" s="30">
        <v>7</v>
      </c>
      <c r="O27" s="28" t="s">
        <v>79</v>
      </c>
      <c r="P27" s="28"/>
      <c r="Q27" s="16">
        <f>N27*L27</f>
        <v>63.0</v>
      </c>
      <c r="R27" s="27">
        <v>46282</v>
      </c>
      <c r="S27" s="27">
        <v>46284</v>
      </c>
      <c r="T27" s="27"/>
      <c r="U27" s="28" t="s">
        <v>80</v>
      </c>
      <c r="V27" s="28"/>
      <c r="W27" s="28" t="s">
        <v>192</v>
      </c>
      <c r="X27" s="29" t="s">
        <v>193</v>
      </c>
      <c r="Y27" s="29"/>
      <c r="Z27" s="29"/>
      <c r="AA27" s="29"/>
      <c r="AB27" s="29"/>
      <c r="AC27" s="28"/>
      <c r="AD27" s="31"/>
    </row>
    <row r="28" spans="1:30" ht="12.5" customHeight="1">
      <c r="A28" s="27">
        <f>IF($C$3="","",$C$3+3)</f>
        <v>46282</v>
      </c>
      <c r="B28" s="28" t="s">
        <v>188</v>
      </c>
      <c r="C28" s="28" t="s">
        <v>189</v>
      </c>
      <c r="D28" s="29" t="s">
        <v>39</v>
      </c>
      <c r="E28" s="30">
        <v>26200337</v>
      </c>
      <c r="F28" s="30">
        <v>10</v>
      </c>
      <c r="G28" s="29" t="s">
        <v>40</v>
      </c>
      <c r="H28" s="28" t="s">
        <v>212</v>
      </c>
      <c r="I28" s="29" t="s">
        <v>168</v>
      </c>
      <c r="J28" s="29" t="s">
        <v>176</v>
      </c>
      <c r="K28" s="28" t="s">
        <v>213</v>
      </c>
      <c r="L28" s="31">
        <v>8</v>
      </c>
      <c r="M28" s="30">
        <v>5</v>
      </c>
      <c r="N28" s="30">
        <v>3</v>
      </c>
      <c r="O28" s="28" t="s">
        <v>79</v>
      </c>
      <c r="P28" s="28"/>
      <c r="Q28" s="16">
        <f>N28*L28</f>
        <v>24.0</v>
      </c>
      <c r="R28" s="27">
        <v>46282</v>
      </c>
      <c r="S28" s="27">
        <v>46284</v>
      </c>
      <c r="T28" s="27"/>
      <c r="U28" s="28" t="s">
        <v>80</v>
      </c>
      <c r="V28" s="28"/>
      <c r="W28" s="28" t="s">
        <v>214</v>
      </c>
      <c r="X28" s="29" t="s">
        <v>193</v>
      </c>
      <c r="Y28" s="29"/>
      <c r="Z28" s="29"/>
      <c r="AA28" s="29"/>
      <c r="AB28" s="29"/>
      <c r="AC28" s="28"/>
      <c r="AD28" s="31"/>
    </row>
    <row r="29" spans="1:30" ht="12.5" customHeight="1">
      <c r="A29" s="27">
        <f>IF($C$3="","",$C$3+3)</f>
        <v>46282</v>
      </c>
      <c r="B29" s="28" t="s">
        <v>180</v>
      </c>
      <c r="C29" s="28" t="s">
        <v>181</v>
      </c>
      <c r="D29" s="29" t="s">
        <v>39</v>
      </c>
      <c r="E29" s="30">
        <v>26200343</v>
      </c>
      <c r="F29" s="30">
        <v>10</v>
      </c>
      <c r="G29" s="29" t="s">
        <v>40</v>
      </c>
      <c r="H29" s="28" t="s">
        <v>215</v>
      </c>
      <c r="I29" s="29" t="s">
        <v>168</v>
      </c>
      <c r="J29" s="29" t="s">
        <v>169</v>
      </c>
      <c r="K29" s="28" t="s">
        <v>69</v>
      </c>
      <c r="L29" s="31">
        <v>8</v>
      </c>
      <c r="M29" s="30">
        <v>5</v>
      </c>
      <c r="N29" s="30">
        <v>4</v>
      </c>
      <c r="O29" s="28"/>
      <c r="P29" s="28"/>
      <c r="Q29" s="16">
        <f>N29*L29</f>
        <v>32.0</v>
      </c>
      <c r="R29" s="27">
        <v>46282</v>
      </c>
      <c r="S29" s="27">
        <v>46284</v>
      </c>
      <c r="T29" s="27"/>
      <c r="U29" s="28"/>
      <c r="V29" s="28"/>
      <c r="W29" s="28" t="s">
        <v>216</v>
      </c>
      <c r="X29" s="29" t="s">
        <v>185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46282</v>
      </c>
      <c r="B30" s="28" t="s">
        <v>194</v>
      </c>
      <c r="C30" s="28" t="s">
        <v>195</v>
      </c>
      <c r="D30" s="29" t="s">
        <v>39</v>
      </c>
      <c r="E30" s="30">
        <v>26200346</v>
      </c>
      <c r="F30" s="30">
        <v>10</v>
      </c>
      <c r="G30" s="29" t="s">
        <v>112</v>
      </c>
      <c r="H30" s="28" t="s">
        <v>196</v>
      </c>
      <c r="I30" s="29" t="s">
        <v>168</v>
      </c>
      <c r="J30" s="29" t="s">
        <v>169</v>
      </c>
      <c r="K30" s="28" t="s">
        <v>197</v>
      </c>
      <c r="L30" s="31">
        <v>9</v>
      </c>
      <c r="M30" s="30">
        <v>8</v>
      </c>
      <c r="N30" s="30">
        <v>10</v>
      </c>
      <c r="O30" s="28"/>
      <c r="P30" s="28"/>
      <c r="Q30" s="16">
        <f>N30*L30</f>
        <v>90.0</v>
      </c>
      <c r="R30" s="27">
        <v>46282</v>
      </c>
      <c r="S30" s="27">
        <v>46284</v>
      </c>
      <c r="T30" s="27"/>
      <c r="U30" s="28"/>
      <c r="V30" s="28"/>
      <c r="W30" s="28" t="s">
        <v>198</v>
      </c>
      <c r="X30" s="29" t="s">
        <v>199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46282</v>
      </c>
      <c r="B31" s="28" t="s">
        <v>165</v>
      </c>
      <c r="C31" s="28" t="s">
        <v>58</v>
      </c>
      <c r="D31" s="29" t="s">
        <v>59</v>
      </c>
      <c r="E31" s="30">
        <v>26200352</v>
      </c>
      <c r="F31" s="30">
        <v>10</v>
      </c>
      <c r="G31" s="29" t="s">
        <v>40</v>
      </c>
      <c r="H31" s="28" t="s">
        <v>217</v>
      </c>
      <c r="I31" s="29" t="s">
        <v>168</v>
      </c>
      <c r="J31" s="29" t="s">
        <v>169</v>
      </c>
      <c r="K31" s="28" t="s">
        <v>218</v>
      </c>
      <c r="L31" s="31">
        <v>2</v>
      </c>
      <c r="M31" s="30">
        <v>4</v>
      </c>
      <c r="N31" s="30">
        <v>4</v>
      </c>
      <c r="O31" s="28"/>
      <c r="P31" s="28"/>
      <c r="Q31" s="16">
        <f>N31*L31</f>
        <v>8.0</v>
      </c>
      <c r="R31" s="27">
        <v>46282</v>
      </c>
      <c r="S31" s="27">
        <v>46284</v>
      </c>
      <c r="T31" s="27"/>
      <c r="U31" s="28"/>
      <c r="V31" s="28"/>
      <c r="W31" s="28" t="s">
        <v>219</v>
      </c>
      <c r="X31" s="29" t="s">
        <v>63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46282</v>
      </c>
      <c r="B32" s="28" t="s">
        <v>165</v>
      </c>
      <c r="C32" s="28" t="s">
        <v>133</v>
      </c>
      <c r="D32" s="29" t="s">
        <v>134</v>
      </c>
      <c r="E32" s="30">
        <v>26200364</v>
      </c>
      <c r="F32" s="30">
        <v>10</v>
      </c>
      <c r="G32" s="29" t="s">
        <v>40</v>
      </c>
      <c r="H32" s="28" t="s">
        <v>220</v>
      </c>
      <c r="I32" s="29" t="s">
        <v>168</v>
      </c>
      <c r="J32" s="29" t="s">
        <v>169</v>
      </c>
      <c r="K32" s="28" t="s">
        <v>136</v>
      </c>
      <c r="L32" s="31">
        <v>8</v>
      </c>
      <c r="M32" s="30">
        <v>4</v>
      </c>
      <c r="N32" s="30">
        <v>4</v>
      </c>
      <c r="O32" s="28"/>
      <c r="P32" s="28"/>
      <c r="Q32" s="16">
        <f>N32*L32</f>
        <v>32.0</v>
      </c>
      <c r="R32" s="27">
        <v>46282</v>
      </c>
      <c r="S32" s="27">
        <v>46284</v>
      </c>
      <c r="T32" s="27"/>
      <c r="U32" s="28"/>
      <c r="V32" s="28"/>
      <c r="W32" s="28" t="s">
        <v>221</v>
      </c>
      <c r="X32" s="29" t="s">
        <v>138</v>
      </c>
      <c r="Y32" s="29"/>
      <c r="Z32" s="29"/>
      <c r="AA32" s="29"/>
      <c r="AB32" s="29"/>
      <c r="AC32" s="28"/>
      <c r="AD32" s="31"/>
    </row>
    <row r="33" spans="1:30">
      <c r="A33" s="8" t="s">
        <v>139</v>
      </c>
      <c r="B33" s="9"/>
      <c r="C33" s="9"/>
      <c r="D33" s="9"/>
      <c r="E33" s="9" t="s">
        <v>35</v>
      </c>
      <c r="F33" s="9">
        <f>COUNT(F34:F39)</f>
        <v>6</v>
      </c>
      <c r="G33" s="9"/>
      <c r="H33" s="9"/>
      <c r="I33" s="9"/>
      <c r="J33" s="9"/>
      <c r="K33" s="9"/>
      <c r="L33" s="9"/>
      <c r="M33" s="8" t="s">
        <v>36</v>
      </c>
      <c r="N33" s="9"/>
      <c r="O33" s="9"/>
      <c r="P33" s="9"/>
      <c r="Q33" s="10">
        <f>SUM(Q34:Q39)</f>
        <v>301.0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2.5" customHeight="1">
      <c r="A34" s="32">
        <f>IF($C$3="","",$C$3+4)</f>
        <v>46283</v>
      </c>
      <c r="B34" s="33" t="s">
        <v>165</v>
      </c>
      <c r="C34" s="33" t="s">
        <v>166</v>
      </c>
      <c r="D34" s="34" t="s">
        <v>120</v>
      </c>
      <c r="E34" s="35">
        <v>26200328</v>
      </c>
      <c r="F34" s="35">
        <v>10</v>
      </c>
      <c r="G34" s="34" t="s">
        <v>40</v>
      </c>
      <c r="H34" s="33" t="s">
        <v>222</v>
      </c>
      <c r="I34" s="34" t="s">
        <v>168</v>
      </c>
      <c r="J34" s="34" t="s">
        <v>169</v>
      </c>
      <c r="K34" s="33" t="s">
        <v>223</v>
      </c>
      <c r="L34" s="36">
        <v>4</v>
      </c>
      <c r="M34" s="35">
        <v>3</v>
      </c>
      <c r="N34" s="35">
        <v>2</v>
      </c>
      <c r="O34" s="33"/>
      <c r="P34" s="33"/>
      <c r="Q34" s="16">
        <f>N34*L34</f>
        <v>8.0</v>
      </c>
      <c r="R34" s="32">
        <v>46283</v>
      </c>
      <c r="S34" s="32">
        <v>46285</v>
      </c>
      <c r="T34" s="32"/>
      <c r="U34" s="33"/>
      <c r="V34" s="33"/>
      <c r="W34" s="33" t="s">
        <v>224</v>
      </c>
      <c r="X34" s="34" t="s">
        <v>172</v>
      </c>
      <c r="Y34" s="34"/>
      <c r="Z34" s="34"/>
      <c r="AA34" s="34"/>
      <c r="AB34" s="34"/>
      <c r="AC34" s="33" t="s">
        <v>203</v>
      </c>
      <c r="AD34" s="36">
        <v>1</v>
      </c>
    </row>
    <row r="35" spans="1:30" ht="12.5" customHeight="1">
      <c r="A35" s="32">
        <f>IF($C$3="","",$C$3+4)</f>
        <v>46283</v>
      </c>
      <c r="B35" s="33" t="s">
        <v>173</v>
      </c>
      <c r="C35" s="33" t="s">
        <v>174</v>
      </c>
      <c r="D35" s="34" t="s">
        <v>39</v>
      </c>
      <c r="E35" s="35">
        <v>26200331</v>
      </c>
      <c r="F35" s="35">
        <v>20</v>
      </c>
      <c r="G35" s="34" t="s">
        <v>112</v>
      </c>
      <c r="H35" s="33" t="s">
        <v>209</v>
      </c>
      <c r="I35" s="34" t="s">
        <v>168</v>
      </c>
      <c r="J35" s="34" t="s">
        <v>176</v>
      </c>
      <c r="K35" s="33" t="s">
        <v>92</v>
      </c>
      <c r="L35" s="36">
        <v>9</v>
      </c>
      <c r="M35" s="35">
        <v>10</v>
      </c>
      <c r="N35" s="35">
        <v>10</v>
      </c>
      <c r="O35" s="33"/>
      <c r="P35" s="33" t="s">
        <v>116</v>
      </c>
      <c r="Q35" s="16">
        <f>N35*L35</f>
        <v>90.0</v>
      </c>
      <c r="R35" s="32">
        <v>46283</v>
      </c>
      <c r="S35" s="32">
        <v>46285</v>
      </c>
      <c r="T35" s="32"/>
      <c r="U35" s="33"/>
      <c r="V35" s="33"/>
      <c r="W35" s="33" t="s">
        <v>210</v>
      </c>
      <c r="X35" s="34" t="s">
        <v>211</v>
      </c>
      <c r="Y35" s="34"/>
      <c r="Z35" s="34"/>
      <c r="AA35" s="34"/>
      <c r="AB35" s="34"/>
      <c r="AC35" s="33"/>
      <c r="AD35" s="36"/>
    </row>
    <row r="36" spans="1:30" ht="12.5" customHeight="1">
      <c r="A36" s="32">
        <f>IF($C$3="","",$C$3+4)</f>
        <v>46283</v>
      </c>
      <c r="B36" s="33" t="s">
        <v>188</v>
      </c>
      <c r="C36" s="33" t="s">
        <v>189</v>
      </c>
      <c r="D36" s="34" t="s">
        <v>39</v>
      </c>
      <c r="E36" s="35">
        <v>26200334</v>
      </c>
      <c r="F36" s="35">
        <v>10</v>
      </c>
      <c r="G36" s="34" t="s">
        <v>112</v>
      </c>
      <c r="H36" s="33" t="s">
        <v>190</v>
      </c>
      <c r="I36" s="34" t="s">
        <v>168</v>
      </c>
      <c r="J36" s="34" t="s">
        <v>176</v>
      </c>
      <c r="K36" s="33" t="s">
        <v>191</v>
      </c>
      <c r="L36" s="36">
        <v>9</v>
      </c>
      <c r="M36" s="35">
        <v>9</v>
      </c>
      <c r="N36" s="35">
        <v>11</v>
      </c>
      <c r="O36" s="33"/>
      <c r="P36" s="33"/>
      <c r="Q36" s="16">
        <f>N36*L36</f>
        <v>99.0</v>
      </c>
      <c r="R36" s="32">
        <v>46283</v>
      </c>
      <c r="S36" s="32">
        <v>46285</v>
      </c>
      <c r="T36" s="32"/>
      <c r="U36" s="33"/>
      <c r="V36" s="33"/>
      <c r="W36" s="33" t="s">
        <v>192</v>
      </c>
      <c r="X36" s="34" t="s">
        <v>193</v>
      </c>
      <c r="Y36" s="34"/>
      <c r="Z36" s="34"/>
      <c r="AA36" s="34"/>
      <c r="AB36" s="34"/>
      <c r="AC36" s="33"/>
      <c r="AD36" s="36"/>
    </row>
    <row r="37" spans="1:30" ht="12.5" customHeight="1">
      <c r="A37" s="32">
        <f>IF($C$3="","",$C$3+4)</f>
        <v>46283</v>
      </c>
      <c r="B37" s="33" t="s">
        <v>188</v>
      </c>
      <c r="C37" s="33" t="s">
        <v>189</v>
      </c>
      <c r="D37" s="34" t="s">
        <v>39</v>
      </c>
      <c r="E37" s="35">
        <v>26200337</v>
      </c>
      <c r="F37" s="35">
        <v>10</v>
      </c>
      <c r="G37" s="34" t="s">
        <v>40</v>
      </c>
      <c r="H37" s="33" t="s">
        <v>212</v>
      </c>
      <c r="I37" s="34" t="s">
        <v>168</v>
      </c>
      <c r="J37" s="34" t="s">
        <v>176</v>
      </c>
      <c r="K37" s="33" t="s">
        <v>213</v>
      </c>
      <c r="L37" s="36">
        <v>8</v>
      </c>
      <c r="M37" s="35">
        <v>5</v>
      </c>
      <c r="N37" s="35">
        <v>5</v>
      </c>
      <c r="O37" s="33"/>
      <c r="P37" s="33"/>
      <c r="Q37" s="16">
        <f>N37*L37</f>
        <v>40.0</v>
      </c>
      <c r="R37" s="32">
        <v>46283</v>
      </c>
      <c r="S37" s="32">
        <v>46285</v>
      </c>
      <c r="T37" s="32"/>
      <c r="U37" s="33"/>
      <c r="V37" s="33"/>
      <c r="W37" s="33" t="s">
        <v>214</v>
      </c>
      <c r="X37" s="34" t="s">
        <v>193</v>
      </c>
      <c r="Y37" s="34"/>
      <c r="Z37" s="34"/>
      <c r="AA37" s="34"/>
      <c r="AB37" s="34"/>
      <c r="AC37" s="33"/>
      <c r="AD37" s="36"/>
    </row>
    <row r="38" spans="1:30" ht="12.5" customHeight="1">
      <c r="A38" s="32">
        <f>IF($C$3="","",$C$3+4)</f>
        <v>46283</v>
      </c>
      <c r="B38" s="33" t="s">
        <v>180</v>
      </c>
      <c r="C38" s="33" t="s">
        <v>181</v>
      </c>
      <c r="D38" s="34" t="s">
        <v>39</v>
      </c>
      <c r="E38" s="35">
        <v>26200343</v>
      </c>
      <c r="F38" s="35">
        <v>10</v>
      </c>
      <c r="G38" s="34" t="s">
        <v>40</v>
      </c>
      <c r="H38" s="33" t="s">
        <v>215</v>
      </c>
      <c r="I38" s="34" t="s">
        <v>168</v>
      </c>
      <c r="J38" s="34" t="s">
        <v>169</v>
      </c>
      <c r="K38" s="33" t="s">
        <v>69</v>
      </c>
      <c r="L38" s="36">
        <v>8</v>
      </c>
      <c r="M38" s="35">
        <v>5</v>
      </c>
      <c r="N38" s="35">
        <v>5</v>
      </c>
      <c r="O38" s="33"/>
      <c r="P38" s="33"/>
      <c r="Q38" s="16">
        <f>N38*L38</f>
        <v>40.0</v>
      </c>
      <c r="R38" s="32">
        <v>46283</v>
      </c>
      <c r="S38" s="32">
        <v>46285</v>
      </c>
      <c r="T38" s="32"/>
      <c r="U38" s="33"/>
      <c r="V38" s="33"/>
      <c r="W38" s="33" t="s">
        <v>216</v>
      </c>
      <c r="X38" s="34" t="s">
        <v>185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46283</v>
      </c>
      <c r="B39" s="33" t="s">
        <v>165</v>
      </c>
      <c r="C39" s="33" t="s">
        <v>204</v>
      </c>
      <c r="D39" s="34" t="s">
        <v>120</v>
      </c>
      <c r="E39" s="35">
        <v>26200361</v>
      </c>
      <c r="F39" s="35">
        <v>10</v>
      </c>
      <c r="G39" s="34" t="s">
        <v>40</v>
      </c>
      <c r="H39" s="33" t="s">
        <v>205</v>
      </c>
      <c r="I39" s="34" t="s">
        <v>168</v>
      </c>
      <c r="J39" s="34" t="s">
        <v>176</v>
      </c>
      <c r="K39" s="33" t="s">
        <v>206</v>
      </c>
      <c r="L39" s="36">
        <v>6</v>
      </c>
      <c r="M39" s="35">
        <v>3</v>
      </c>
      <c r="N39" s="35">
        <v>4</v>
      </c>
      <c r="O39" s="33" t="s">
        <v>109</v>
      </c>
      <c r="P39" s="33"/>
      <c r="Q39" s="16">
        <f>N39*L39</f>
        <v>24.0</v>
      </c>
      <c r="R39" s="32">
        <v>46283</v>
      </c>
      <c r="S39" s="32">
        <v>46285</v>
      </c>
      <c r="T39" s="32"/>
      <c r="U39" s="33"/>
      <c r="V39" s="33"/>
      <c r="W39" s="33" t="s">
        <v>207</v>
      </c>
      <c r="X39" s="34" t="s">
        <v>208</v>
      </c>
      <c r="Y39" s="34"/>
      <c r="Z39" s="34"/>
      <c r="AA39" s="34"/>
      <c r="AB39" s="34"/>
      <c r="AC39" s="33"/>
      <c r="AD39" s="36"/>
    </row>
    <row r="40" spans="1:30">
      <c r="A40" s="8" t="s">
        <v>156</v>
      </c>
      <c r="B40" s="9"/>
      <c r="C40" s="9"/>
      <c r="D40" s="9"/>
      <c r="E40" s="9" t="s">
        <v>35</v>
      </c>
      <c r="F40" s="9">
        <f>COUNT(F41:F41)</f>
        <v>1</v>
      </c>
      <c r="G40" s="9"/>
      <c r="H40" s="9"/>
      <c r="I40" s="9"/>
      <c r="J40" s="9"/>
      <c r="K40" s="9"/>
      <c r="L40" s="9"/>
      <c r="M40" s="8" t="s">
        <v>36</v>
      </c>
      <c r="N40" s="9"/>
      <c r="O40" s="9"/>
      <c r="P40" s="9"/>
      <c r="Q40" s="10">
        <f>SUM(Q41:Q41)</f>
        <v>0.0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2.5" customHeight="1">
      <c r="A41" s="37">
        <f>IF($C$3="","",$C$3+5)</f>
        <v>46284</v>
      </c>
      <c r="B41" s="38" t="s">
        <v>225</v>
      </c>
      <c r="C41" s="38" t="s">
        <v>96</v>
      </c>
      <c r="D41" s="39" t="s">
        <v>97</v>
      </c>
      <c r="E41" s="40">
        <v>26200358</v>
      </c>
      <c r="F41" s="40">
        <v>10</v>
      </c>
      <c r="G41" s="39" t="s">
        <v>40</v>
      </c>
      <c r="H41" s="38" t="s">
        <v>226</v>
      </c>
      <c r="I41" s="39" t="s">
        <v>168</v>
      </c>
      <c r="J41" s="39" t="s">
        <v>169</v>
      </c>
      <c r="K41" s="38" t="s">
        <v>197</v>
      </c>
      <c r="L41" s="41">
        <v>5</v>
      </c>
      <c r="M41" s="40">
        <v>6</v>
      </c>
      <c r="N41" s="40"/>
      <c r="O41" s="38"/>
      <c r="P41" s="38"/>
      <c r="Q41" s="16">
        <f>N41*L41</f>
        <v>0.0</v>
      </c>
      <c r="R41" s="37">
        <v>46284</v>
      </c>
      <c r="S41" s="37">
        <v>46286</v>
      </c>
      <c r="T41" s="37"/>
      <c r="U41" s="38"/>
      <c r="V41" s="38"/>
      <c r="W41" s="38" t="s">
        <v>227</v>
      </c>
      <c r="X41" s="39" t="s">
        <v>101</v>
      </c>
      <c r="Y41" s="39"/>
      <c r="Z41" s="39"/>
      <c r="AA41" s="39"/>
      <c r="AB41" s="39"/>
      <c r="AC41" s="38"/>
      <c r="AD41" s="41"/>
    </row>
    <row r="42" spans="1:30">
      <c r="A42" s="8" t="s">
        <v>163</v>
      </c>
      <c r="B42" s="9"/>
      <c r="C42" s="9"/>
      <c r="D42" s="9"/>
      <c r="E42" s="9" t="s">
        <v>35</v>
      </c>
      <c r="F42" s="9">
        <v>0</v>
      </c>
      <c r="G42" s="9"/>
      <c r="H42" s="9"/>
      <c r="I42" s="9"/>
      <c r="J42" s="9"/>
      <c r="K42" s="9"/>
      <c r="L42" s="9"/>
      <c r="M42" s="8" t="s">
        <v>36</v>
      </c>
      <c r="N42" s="9"/>
      <c r="O42" s="9"/>
      <c r="P42" s="9"/>
      <c r="Q42" s="10">
        <v>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</sheetData>
  <autoFilter ref="A4:AD43"/>
  <mergeCells count="1">
    <mergeCell ref="B2:AB2"/>
  </mergeCells>
  <dataValidations count="7">
    <dataValidation type="custom" allowBlank="1" showInputMessage="1" showErrorMessage="1" errorTitle="Data inválida" error="Digite a data de uma SEGUNDA-FEIRA (ex.: 14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3">
      <formula1>BaseLine!$E$3:$E$5</formula1>
    </dataValidation>
    <dataValidation type="list" errorStyle="warning" allowBlank="1" showInputMessage="1" showErrorMessage="1" sqref="J6:J43">
      <formula1>BaseLine!$F$3:$F$8</formula1>
    </dataValidation>
    <dataValidation type="list" errorStyle="warning" allowBlank="1" showInputMessage="1" showErrorMessage="1" sqref="D6:D43">
      <formula1>BaseLine!$G$3:$G$7</formula1>
    </dataValidation>
    <dataValidation type="list" errorStyle="warning" allowBlank="1" showInputMessage="1" showErrorMessage="1" sqref="C6:C43">
      <formula1>BaseLine!$H$3:$H$15</formula1>
    </dataValidation>
    <dataValidation type="list" errorStyle="warning" allowBlank="1" showInputMessage="1" showErrorMessage="1" sqref="U6:U43">
      <formula1>BaseLine!$C$3:$C$11</formula1>
    </dataValidation>
    <dataValidation type="list" allowBlank="1" showInputMessage="1" showErrorMessage="1" sqref="G6:G43">
      <formula1>"Sim,Não"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FA3BC"/>
  </sheetPr>
  <dimension ref="A1:H15"/>
  <sheetViews>
    <sheetView workbookViewId="0"/>
  </sheetViews>
  <sheetFormatPr defaultRowHeight="15"/>
  <cols>
    <col min="1" max="1" width="9.7109375" customWidth="1"/>
    <col min="2" max="2" width="46.7109375" customWidth="1"/>
    <col min="3" max="3" width="52.7109375" customWidth="1"/>
    <col min="5" max="8" width="26.7109375" customWidth="1"/>
  </cols>
  <sheetData>
    <row r="1" spans="1:8">
      <c r="A1" s="42" t="s">
        <v>228</v>
      </c>
    </row>
    <row r="2" spans="1:8">
      <c r="A2" s="43" t="s">
        <v>229</v>
      </c>
      <c r="B2" s="43" t="s">
        <v>230</v>
      </c>
      <c r="C2" s="43" t="s">
        <v>231</v>
      </c>
      <c r="E2" s="43" t="s">
        <v>9</v>
      </c>
      <c r="F2" s="43" t="s">
        <v>10</v>
      </c>
      <c r="G2" s="43" t="s">
        <v>4</v>
      </c>
      <c r="H2" s="43" t="s">
        <v>3</v>
      </c>
    </row>
    <row r="3" spans="1:8">
      <c r="A3" s="44" t="s">
        <v>232</v>
      </c>
      <c r="B3" s="44" t="s">
        <v>233</v>
      </c>
      <c r="C3" s="44" t="str">
        <f>CONCATENATE(A3,"_",B3)</f>
        <v>CHUVA_PARALISADO POR CHUVA / CONDIÇÃO CLIMÁTICA</v>
      </c>
      <c r="E3" s="44" t="s">
        <v>42</v>
      </c>
      <c r="F3" s="44" t="s">
        <v>43</v>
      </c>
      <c r="G3" s="44" t="s">
        <v>39</v>
      </c>
      <c r="H3" s="44" t="s">
        <v>38</v>
      </c>
    </row>
    <row r="4" spans="1:8">
      <c r="A4" s="44" t="s">
        <v>234</v>
      </c>
      <c r="B4" s="44" t="s">
        <v>235</v>
      </c>
      <c r="C4" s="44" t="str">
        <f>CONCATENATE(A4,"_",B4)</f>
        <v>FMAT_FALTA DE MATERIAL / ATRASO DO FORNECEDOR</v>
      </c>
      <c r="E4" s="44" t="s">
        <v>67</v>
      </c>
      <c r="F4" s="44" t="s">
        <v>54</v>
      </c>
      <c r="G4" s="44" t="s">
        <v>97</v>
      </c>
      <c r="H4" s="44" t="s">
        <v>52</v>
      </c>
    </row>
    <row r="5" spans="1:8">
      <c r="A5" s="44" t="s">
        <v>236</v>
      </c>
      <c r="B5" s="44" t="s">
        <v>237</v>
      </c>
      <c r="C5" s="44" t="str">
        <f>CONCATENATE(A5,"_",B5)</f>
        <v>FEQP_EQUIPAMENTO INDISPONÍVEL</v>
      </c>
      <c r="E5" s="44" t="s">
        <v>168</v>
      </c>
      <c r="F5" s="44" t="s">
        <v>85</v>
      </c>
      <c r="G5" s="44" t="s">
        <v>120</v>
      </c>
      <c r="H5" s="44" t="s">
        <v>83</v>
      </c>
    </row>
    <row r="6" spans="1:8">
      <c r="A6" s="44" t="s">
        <v>238</v>
      </c>
      <c r="B6" s="44" t="s">
        <v>239</v>
      </c>
      <c r="C6" s="44" t="str">
        <f>CONCATENATE(A6,"_",B6)</f>
        <v>FMDO_DESVIO DE MÃO DE OBRA</v>
      </c>
      <c r="F6" s="44" t="s">
        <v>68</v>
      </c>
      <c r="G6" s="44" t="s">
        <v>59</v>
      </c>
      <c r="H6" s="44" t="s">
        <v>106</v>
      </c>
    </row>
    <row r="7" spans="1:8">
      <c r="A7" s="44" t="s">
        <v>240</v>
      </c>
      <c r="B7" s="44" t="s">
        <v>241</v>
      </c>
      <c r="C7" s="44" t="str">
        <f>CONCATENATE(A7,"_",B7)</f>
        <v>LIBE_AGUARDANDO LIBERAÇÃO DO CLIENTE / PROJETO</v>
      </c>
      <c r="F7" s="44" t="s">
        <v>169</v>
      </c>
      <c r="G7" s="44" t="s">
        <v>134</v>
      </c>
      <c r="H7" s="44" t="s">
        <v>65</v>
      </c>
    </row>
    <row r="8" spans="1:8">
      <c r="A8" s="44" t="s">
        <v>242</v>
      </c>
      <c r="B8" s="44" t="s">
        <v>243</v>
      </c>
      <c r="C8" s="44" t="str">
        <f>CONCATENATE(A8,"_",B8)</f>
        <v>RETR_RETRABALHO</v>
      </c>
      <c r="F8" s="44" t="s">
        <v>176</v>
      </c>
      <c r="H8" s="44" t="s">
        <v>90</v>
      </c>
    </row>
    <row r="9" spans="1:8">
      <c r="A9" s="44" t="s">
        <v>244</v>
      </c>
      <c r="B9" s="44" t="s">
        <v>245</v>
      </c>
      <c r="C9" s="44" t="str">
        <f>CONCATENATE(A9,"_",B9)</f>
        <v>EXANT_EXECUÇÃO ANTECIPADA</v>
      </c>
      <c r="H9" s="44" t="s">
        <v>166</v>
      </c>
    </row>
    <row r="10" spans="1:8">
      <c r="A10" s="44" t="s">
        <v>246</v>
      </c>
      <c r="B10" s="44" t="s">
        <v>247</v>
      </c>
      <c r="C10" s="44" t="str">
        <f>CONCATENATE(A10,"_",B10)</f>
        <v>CCLI_CANCELADO PELO CLIENTE</v>
      </c>
      <c r="H10" s="44" t="s">
        <v>174</v>
      </c>
    </row>
    <row r="11" spans="1:8">
      <c r="A11" s="44" t="s">
        <v>248</v>
      </c>
      <c r="B11" s="44" t="s">
        <v>249</v>
      </c>
      <c r="C11" s="44" t="str">
        <f>CONCATENATE(A11,"_",B11)</f>
        <v>REPL_REPLANEJADO PELO PLANEJAMENTO</v>
      </c>
      <c r="H11" s="44" t="s">
        <v>189</v>
      </c>
    </row>
    <row r="12" spans="1:8">
      <c r="H12" s="44" t="s">
        <v>181</v>
      </c>
    </row>
    <row r="13" spans="1:8">
      <c r="H13" s="44" t="s">
        <v>195</v>
      </c>
    </row>
    <row r="14" spans="1:8">
      <c r="H14" s="44" t="s">
        <v>133</v>
      </c>
    </row>
    <row r="15" spans="1:8">
      <c r="H15" s="4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VILA SERENA</vt:lpstr>
      <vt:lpstr>CD ROTA 116</vt:lpstr>
      <vt:lpstr>BaseLine</vt:lpstr>
    </vt:vector>
  </TitlesOfParts>
  <Company>Baluarte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Programação Semanal 38 - Baluarte Engenharia</dc:title>
  <dc:creator>Baluarte Engenharia (empresa fictícia)</dc:creator>
  <cp:lastModifiedBy>Baluarte Engenharia (empresa fictícia)</cp:lastModifiedBy>
  <dcterms:created xsi:type="dcterms:W3CDTF">2026-09-20T19:44:35Z</dcterms:created>
  <dcterms:modified xsi:type="dcterms:W3CDTF">2026-09-20T19:44:35Z</dcterms:modified>
</cp:coreProperties>
</file>